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0dcdeb3e3c740262/Escritorio/Portfolio/Zentra Budget Performance Audit/model/"/>
    </mc:Choice>
  </mc:AlternateContent>
  <xr:revisionPtr revIDLastSave="2142" documentId="11_F25DC773A252ABDACC1048EED99E667E5BDE58F0" xr6:coauthVersionLast="47" xr6:coauthVersionMax="47" xr10:uidLastSave="{8B93B278-2CF6-4950-ADC2-35AE1CD91CE0}"/>
  <bookViews>
    <workbookView xWindow="-108" yWindow="-108" windowWidth="23256" windowHeight="12456" firstSheet="1" activeTab="1" xr2:uid="{00000000-000D-0000-FFFF-FFFF00000000}"/>
  </bookViews>
  <sheets>
    <sheet name="Tables" sheetId="1" state="hidden" r:id="rId1"/>
    <sheet name="Dashboard" sheetId="2" r:id="rId2"/>
  </sheets>
  <definedNames>
    <definedName name="Slicer_DEPARTMENT1">#N/A</definedName>
    <definedName name="Slicer_Month">#N/A</definedName>
    <definedName name="Slicer_REGION">#N/A</definedName>
  </definedNames>
  <calcPr calcId="191029"/>
  <pivotCaches>
    <pivotCache cacheId="148" r:id="rId3"/>
    <pivotCache cacheId="217" r:id="rId4"/>
    <pivotCache cacheId="220" r:id="rId5"/>
    <pivotCache cacheId="223" r:id="rId6"/>
    <pivotCache cacheId="226" r:id="rId7"/>
    <pivotCache cacheId="229" r:id="rId8"/>
    <pivotCache cacheId="232" r:id="rId9"/>
    <pivotCache cacheId="235" r:id="rId10"/>
    <pivotCache cacheId="238" r:id="rId11"/>
    <pivotCache cacheId="241"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tuals_Data_b02a6cd7-87cb-4b8e-8bdc-a383b8eb2b68" name="Actuals_Data" connection="Query - Actuals_Data"/>
          <x15:modelTable id="Budget_Data_67844803-43c7-4750-833f-0d51b867f59f" name="Budget_Data" connection="Query - Budget_Data"/>
          <x15:modelTable id="CategoryMapping_de950f7e-ca57-416c-a1fe-115f8937decf" name="CategoryMapping" connection="Query - CategoryMapping"/>
          <x15:modelTable id="CostCenters_6009e3e8-fbcd-4e83-a610-defca1eb0b60" name="CostCenters" connection="Query - CostCenters"/>
          <x15:modelTable id="Category_Actuals_88c64efb-03e1-45fd-9917-d647aa3cd114" name="Category_Actuals" connection="Query - Category_Actuals"/>
          <x15:modelTable id="Category_Budget_438d0210-b38d-4e4e-877a-cf8cb2abe4d6" name="Category_Budget" connection="Query - Category_Budget"/>
          <x15:modelTable id="Calendar" name="Calendar" connection="Connection"/>
        </x15:modelTables>
        <x15:modelRelationships>
          <x15:modelRelationship fromTable="Actuals_Data" fromColumn="cost_center" toTable="CostCenters" toColumn="COST CENTER"/>
          <x15:modelRelationship fromTable="Actuals_Data" fromColumn="date" toTable="Calendar" toColumn="Date"/>
          <x15:modelRelationship fromTable="Actuals_Data" fromColumn="Category l" toTable="CategoryMapping" toColumn="CATEGORY"/>
          <x15:modelRelationship fromTable="Actuals_Data" fromColumn="category" toTable="Category_Budget" toColumn="CATEGORY"/>
          <x15:modelRelationship fromTable="Budget_Data" fromColumn="CATEGORY" toTable="CategoryMapping" toColumn="CATEGORY"/>
          <x15:modelRelationship fromTable="Budget_Data" fromColumn="COST CENTER" toTable="CostCenters" toColumn="COST CENTER"/>
          <x15:modelRelationship fromTable="Budget_Data" fromColumn="DATE" toTable="Calendar" toColumn="Date"/>
          <x15:modelRelationship fromTable="Budget_Data" fromColumn="CATEGORY" toTable="Category_Budget" toColumn="CATEGORY"/>
        </x15:modelRelationships>
        <x15:extLst>
          <ext xmlns:x16="http://schemas.microsoft.com/office/spreadsheetml/2014/11/main" uri="{9835A34E-60A6-4A7C-AAB8-D5F71C897F49}">
            <x16:modelTimeGroupings>
              <x16:modelTimeGrouping tableName="Actuals_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2" l="1"/>
  <c r="V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F46364-DC7C-4588-B633-6A2EA5D9EF70}" name="Connection" type="104" refreshedVersion="0" background="1">
    <extLst>
      <ext xmlns:x15="http://schemas.microsoft.com/office/spreadsheetml/2010/11/main" uri="{DE250136-89BD-433C-8126-D09CA5730AF9}">
        <x15:connection id="Calendar"/>
      </ext>
    </extLst>
  </connection>
  <connection id="2" xr16:uid="{FF11B0AE-FFC5-4452-8FE5-8C8041E4AF32}" name="Query - Actuals_Data" description="Connection to the 'Actuals_Data' query in the workbook." type="100" refreshedVersion="8" minRefreshableVersion="5">
    <extLst>
      <ext xmlns:x15="http://schemas.microsoft.com/office/spreadsheetml/2010/11/main" uri="{DE250136-89BD-433C-8126-D09CA5730AF9}">
        <x15:connection id="06c9816a-d12b-4c15-bc51-4cf1c9614ff8"/>
      </ext>
    </extLst>
  </connection>
  <connection id="3" xr16:uid="{1011459C-5CF1-4FCF-A778-D6EB51D90C89}" name="Query - Budget_Data" description="Connection to the 'Budget_Data' query in the workbook." type="100" refreshedVersion="8" minRefreshableVersion="5">
    <extLst>
      <ext xmlns:x15="http://schemas.microsoft.com/office/spreadsheetml/2010/11/main" uri="{DE250136-89BD-433C-8126-D09CA5730AF9}">
        <x15:connection id="82eee29d-12d2-43b4-99e5-08e33cdeb821"/>
      </ext>
    </extLst>
  </connection>
  <connection id="4" xr16:uid="{2B932007-EB9E-48B9-8100-A77BB4C4CD87}" name="Query - Category_Actuals" description="Connection to the 'Category_Actuals' query in the workbook." type="100" refreshedVersion="8" minRefreshableVersion="5">
    <extLst>
      <ext xmlns:x15="http://schemas.microsoft.com/office/spreadsheetml/2010/11/main" uri="{DE250136-89BD-433C-8126-D09CA5730AF9}">
        <x15:connection id="43b9a908-8b0e-4f2e-95e5-c5a14a06a030"/>
      </ext>
    </extLst>
  </connection>
  <connection id="5" xr16:uid="{6F922F63-6F10-46D2-BD7A-0732994B3110}" name="Query - Category_Budget" description="Connection to the 'Category_Budget' query in the workbook." type="100" refreshedVersion="8" minRefreshableVersion="5">
    <extLst>
      <ext xmlns:x15="http://schemas.microsoft.com/office/spreadsheetml/2010/11/main" uri="{DE250136-89BD-433C-8126-D09CA5730AF9}">
        <x15:connection id="4bf990b0-0bf8-44f3-81d4-fcc1e9bb9b9c"/>
      </ext>
    </extLst>
  </connection>
  <connection id="6" xr16:uid="{FD515B86-72E5-4106-8C1A-CA819B06996D}" name="Query - CategoryMapping" description="Connection to the 'CategoryMapping' query in the workbook." type="100" refreshedVersion="8" minRefreshableVersion="5">
    <extLst>
      <ext xmlns:x15="http://schemas.microsoft.com/office/spreadsheetml/2010/11/main" uri="{DE250136-89BD-433C-8126-D09CA5730AF9}">
        <x15:connection id="9c14bc62-b0a7-44f1-8d1d-381380f5482b"/>
      </ext>
    </extLst>
  </connection>
  <connection id="7" xr16:uid="{7A6A5A08-1914-4E8D-918F-8440E8CEB3AC}" name="Query - CostCenters" description="Connection to the 'CostCenters' query in the workbook." type="100" refreshedVersion="8" minRefreshableVersion="5">
    <extLst>
      <ext xmlns:x15="http://schemas.microsoft.com/office/spreadsheetml/2010/11/main" uri="{DE250136-89BD-433C-8126-D09CA5730AF9}">
        <x15:connection id="264518a7-22c1-448c-8b72-8c156b90db81"/>
      </ext>
    </extLst>
  </connection>
  <connection id="8" xr16:uid="{3BA32D21-61E0-4C83-A646-4C6582CAF4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<sst xmlns="http://schemas.openxmlformats.org/spreadsheetml/2006/main" count="116" uniqueCount="57">
  <si>
    <t>Grand Total</t>
  </si>
  <si>
    <t>Row Labels</t>
  </si>
  <si>
    <t>Total Data</t>
  </si>
  <si>
    <t>Total Budget Cost</t>
  </si>
  <si>
    <t>Apr</t>
  </si>
  <si>
    <t>Aug</t>
  </si>
  <si>
    <t>Dec</t>
  </si>
  <si>
    <t>Feb</t>
  </si>
  <si>
    <t>Jan</t>
  </si>
  <si>
    <t>Jul</t>
  </si>
  <si>
    <t>Jun</t>
  </si>
  <si>
    <t>Mar</t>
  </si>
  <si>
    <t>May</t>
  </si>
  <si>
    <t>Nov</t>
  </si>
  <si>
    <t>Oct</t>
  </si>
  <si>
    <t>Sep</t>
  </si>
  <si>
    <t>Accumulated Budget Data</t>
  </si>
  <si>
    <t>Variance</t>
  </si>
  <si>
    <t>Variance in %</t>
  </si>
  <si>
    <t>Advertising</t>
  </si>
  <si>
    <t>Digital Tools</t>
  </si>
  <si>
    <t>Events</t>
  </si>
  <si>
    <t>Hardware</t>
  </si>
  <si>
    <t>Licenses</t>
  </si>
  <si>
    <t>Logistics</t>
  </si>
  <si>
    <t>Recruiting</t>
  </si>
  <si>
    <t>Repairs</t>
  </si>
  <si>
    <t>Salaries</t>
  </si>
  <si>
    <t>Software</t>
  </si>
  <si>
    <t>Supplies</t>
  </si>
  <si>
    <t>Training</t>
  </si>
  <si>
    <t>Marketing</t>
  </si>
  <si>
    <t>IT</t>
  </si>
  <si>
    <t>Operations</t>
  </si>
  <si>
    <t>Human Resources</t>
  </si>
  <si>
    <t>Zentra Dynamics</t>
  </si>
  <si>
    <t>Budget Performance Audit</t>
  </si>
  <si>
    <t>Calgary</t>
  </si>
  <si>
    <t>Montreal</t>
  </si>
  <si>
    <t>Toronto</t>
  </si>
  <si>
    <t>Vancouver</t>
  </si>
  <si>
    <t>ene</t>
  </si>
  <si>
    <t>feb</t>
  </si>
  <si>
    <t>mar</t>
  </si>
  <si>
    <t>abr</t>
  </si>
  <si>
    <t>may</t>
  </si>
  <si>
    <t>jun</t>
  </si>
  <si>
    <t>jul</t>
  </si>
  <si>
    <t>ago</t>
  </si>
  <si>
    <t>sep</t>
  </si>
  <si>
    <t>oct</t>
  </si>
  <si>
    <t>nov</t>
  </si>
  <si>
    <t>dic</t>
  </si>
  <si>
    <t xml:space="preserve">  </t>
  </si>
  <si>
    <t>Total Actual cost</t>
  </si>
  <si>
    <t>Accumulated Total Actual Data</t>
  </si>
  <si>
    <t>Total Actual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</si>
</sst>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5" x14ac:knownFonts="1">
    <font>
      <sz val="11"/>
      <color theme="1"/>
      <name val="Calibri"/>
      <family val="2"/>
      <scheme val="minor"/>
    </font>
    <font>
      <b/>
      <sz val="16"/>
      <color theme="0"/>
      <name val="Calibri"/>
      <family val="2"/>
      <scheme val="minor"/>
    </font>
    <font>
      <sz val="16"/>
      <color theme="1"/>
      <name val="Calibri"/>
      <family val="2"/>
      <scheme val="minor"/>
    </font>
    <font>
      <b/>
      <sz val="14"/>
      <color theme="0"/>
      <name val="Calibri"/>
      <family val="2"/>
      <scheme val="minor"/>
    </font>
    <font>
      <b/>
      <sz val="22"/>
      <color theme="0"/>
      <name val="Segoe UI"/>
      <family val="2"/>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left" indent="1"/>
    </xf>
    <xf numFmtId="0" fontId="4" fillId="2" borderId="0" xfId="0" applyFont="1" applyFill="1" applyAlignment="1">
      <alignment horizontal="left"/>
    </xf>
    <xf numFmtId="0" fontId="0" fillId="2" borderId="0" xfId="0" applyFill="1"/>
    <xf numFmtId="0" fontId="3" fillId="2" borderId="0" xfId="0" applyFont="1" applyFill="1" applyAlignment="1">
      <alignment horizontal="center"/>
    </xf>
    <xf numFmtId="0" fontId="1" fillId="2" borderId="0" xfId="0" applyFont="1" applyFill="1" applyAlignment="1">
      <alignment horizontal="center"/>
    </xf>
    <xf numFmtId="0" fontId="2" fillId="2" borderId="0" xfId="0" applyFont="1" applyFill="1" applyAlignment="1">
      <alignment vertical="top"/>
    </xf>
    <xf numFmtId="0" fontId="2" fillId="2" borderId="0" xfId="0" applyFont="1" applyFill="1" applyAlignment="1">
      <alignment horizontal="right" vertical="top"/>
    </xf>
    <xf numFmtId="0" fontId="0" fillId="0" borderId="0" xfId="0" applyNumberFormat="1"/>
    <xf numFmtId="10" fontId="0" fillId="0" borderId="0" xfId="0" applyNumberFormat="1" applyAlignment="1"/>
  </cellXfs>
  <cellStyles count="1">
    <cellStyle name="Normal" xfId="0" builtinId="0"/>
  </cellStyles>
  <dxfs count="12">
    <dxf>
      <font>
        <color theme="0"/>
      </font>
      <border>
        <bottom style="thin">
          <color theme="0" tint="-0.34998626667073579"/>
        </bottom>
        <vertical/>
        <horizontal/>
      </border>
    </dxf>
    <dxf>
      <font>
        <sz val="14"/>
        <color theme="1"/>
      </font>
      <fill>
        <patternFill>
          <bgColor rgb="FF002060"/>
        </patternFill>
      </fill>
      <border diagonalUp="0" diagonalDown="0">
        <left/>
        <right/>
        <top/>
        <bottom/>
        <vertical/>
        <horizontal/>
      </border>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font>
        <color rgb="FF00B050"/>
      </font>
    </dxf>
    <dxf>
      <font>
        <color theme="5" tint="-0.24994659260841701"/>
      </font>
    </dxf>
    <dxf>
      <font>
        <color rgb="FF00B050"/>
      </font>
    </dxf>
    <dxf>
      <font>
        <color theme="5" tint="-0.24994659260841701"/>
      </font>
    </dxf>
    <dxf>
      <numFmt numFmtId="14" formatCode="0.00%"/>
      <alignment horizontal="general" vertical="bottom" textRotation="0" wrapText="0" indent="0" justifyLastLine="0" shrinkToFit="0" readingOrder="0"/>
    </dxf>
  </dxfs>
  <tableStyles count="1" defaultTableStyle="TableStyleMedium2" defaultPivotStyle="PivotStyleLight16">
    <tableStyle name="SlicerStyleOther1 2" pivot="0" table="0" count="10" xr9:uid="{BAC7B454-3883-4655-8C3D-994EBBC1A736}">
      <tableStyleElement type="wholeTable" dxfId="1"/>
      <tableStyleElement type="headerRow" dxfId="0"/>
    </tableStyle>
  </tableStyles>
  <colors>
    <mruColors>
      <color rgb="FF4E79A7"/>
      <color rgb="FFFFFFFF"/>
      <color rgb="FF0F2A44"/>
      <color rgb="FFA0CBE8"/>
      <color rgb="FFE15759"/>
      <color rgb="FF59A14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tint="-4.9989318521683403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8" Type="http://schemas.openxmlformats.org/officeDocument/2006/relationships/customXml" Target="../customXml/item36.xml"/><Relationship Id="rId5"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57" Type="http://schemas.openxmlformats.org/officeDocument/2006/relationships/customXml" Target="../customXml/item35.xml"/><Relationship Id="rId10" Type="http://schemas.openxmlformats.org/officeDocument/2006/relationships/pivotCacheDefinition" Target="pivotCache/pivotCacheDefinition8.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[Zentra_Audit.xlsx]Tables!TotalsCategory</c:name>
    <c:fmtId val="6"/>
  </c:pivotSource>
  <c:chart>
    <c:title>
      <c:tx>
        <c:rich>
          <a:bodyPr rot="0" spcFirstLastPara="1" vertOverflow="ellipsis" vert="horz" wrap="square" anchor="ctr" anchorCtr="1"/>
          <a:lstStyle/>
          <a:p>
            <a:pPr>
              <a:defRPr sz="1920" b="0" i="0" u="none" strike="noStrike" kern="1200" cap="none" spc="0" normalizeH="0" baseline="0">
                <a:solidFill>
                  <a:schemeClr val="bg1"/>
                </a:solidFill>
                <a:latin typeface="Segoe UI" panose="020B0502040204020203" pitchFamily="34" charset="0"/>
                <a:ea typeface="+mj-ea"/>
                <a:cs typeface="Segoe UI" panose="020B0502040204020203" pitchFamily="34" charset="0"/>
              </a:defRPr>
            </a:pPr>
            <a:r>
              <a:rPr lang="en-CA"/>
              <a:t>Actual vs Budget by Department</a:t>
            </a:r>
          </a:p>
        </c:rich>
      </c:tx>
      <c:layout>
        <c:manualLayout>
          <c:xMode val="edge"/>
          <c:yMode val="edge"/>
          <c:x val="2.6002206665477329E-2"/>
          <c:y val="1.2707073604306398E-2"/>
        </c:manualLayout>
      </c:layout>
      <c:overlay val="0"/>
      <c:spPr>
        <a:noFill/>
        <a:ln>
          <a:noFill/>
        </a:ln>
        <a:effectLst/>
      </c:spPr>
      <c:txPr>
        <a:bodyPr rot="0" spcFirstLastPara="1" vertOverflow="ellipsis" vert="horz" wrap="square" anchor="ctr" anchorCtr="1"/>
        <a:lstStyle/>
        <a:p>
          <a:pPr>
            <a:defRPr sz="1920" b="0" i="0" u="none" strike="noStrike" kern="1200" cap="none" spc="0" normalizeH="0" baseline="0">
              <a:solidFill>
                <a:schemeClr val="bg1"/>
              </a:solidFill>
              <a:latin typeface="Segoe UI" panose="020B0502040204020203" pitchFamily="34" charset="0"/>
              <a:ea typeface="+mj-ea"/>
              <a:cs typeface="Segoe UI" panose="020B0502040204020203" pitchFamily="34" charset="0"/>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0CB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E79A7"/>
          </a:solidFill>
          <a:ln>
            <a:noFill/>
          </a:ln>
          <a:effectLst/>
        </c:spPr>
      </c:pivotFmt>
    </c:pivotFmts>
    <c:plotArea>
      <c:layout>
        <c:manualLayout>
          <c:layoutTarget val="inner"/>
          <c:xMode val="edge"/>
          <c:yMode val="edge"/>
          <c:x val="0.16157454754620643"/>
          <c:y val="0.1104630503772846"/>
          <c:w val="0.78626894103058231"/>
          <c:h val="0.79333090655831007"/>
        </c:manualLayout>
      </c:layout>
      <c:barChart>
        <c:barDir val="bar"/>
        <c:grouping val="clustered"/>
        <c:varyColors val="0"/>
        <c:ser>
          <c:idx val="0"/>
          <c:order val="0"/>
          <c:tx>
            <c:strRef>
              <c:f>Tables!$P$3</c:f>
              <c:strCache>
                <c:ptCount val="1"/>
                <c:pt idx="0">
                  <c:v>Total Actual Data</c:v>
                </c:pt>
              </c:strCache>
            </c:strRef>
          </c:tx>
          <c:spPr>
            <a:solidFill>
              <a:srgbClr val="4E79A7"/>
            </a:solidFill>
            <a:ln>
              <a:noFill/>
            </a:ln>
            <a:effectLst/>
          </c:spPr>
          <c:invertIfNegative val="0"/>
          <c:cat>
            <c:multiLvlStrRef>
              <c:f>Tables!$O$4:$O$20</c:f>
              <c:multiLvlStrCache>
                <c:ptCount val="12"/>
                <c:lvl>
                  <c:pt idx="0">
                    <c:v>Recruiting</c:v>
                  </c:pt>
                  <c:pt idx="1">
                    <c:v>Salaries</c:v>
                  </c:pt>
                  <c:pt idx="2">
                    <c:v>Training</c:v>
                  </c:pt>
                  <c:pt idx="3">
                    <c:v>Hardware</c:v>
                  </c:pt>
                  <c:pt idx="4">
                    <c:v>Licenses</c:v>
                  </c:pt>
                  <c:pt idx="5">
                    <c:v>Software</c:v>
                  </c:pt>
                  <c:pt idx="6">
                    <c:v>Advertising</c:v>
                  </c:pt>
                  <c:pt idx="7">
                    <c:v>Digital Tools</c:v>
                  </c:pt>
                  <c:pt idx="8">
                    <c:v>Events</c:v>
                  </c:pt>
                  <c:pt idx="9">
                    <c:v>Logistics</c:v>
                  </c:pt>
                  <c:pt idx="10">
                    <c:v>Repairs</c:v>
                  </c:pt>
                  <c:pt idx="11">
                    <c:v>Supplies</c:v>
                  </c:pt>
                </c:lvl>
                <c:lvl>
                  <c:pt idx="0">
                    <c:v>Human Resources</c:v>
                  </c:pt>
                  <c:pt idx="3">
                    <c:v>IT</c:v>
                  </c:pt>
                  <c:pt idx="6">
                    <c:v>Marketing</c:v>
                  </c:pt>
                  <c:pt idx="9">
                    <c:v>Operations</c:v>
                  </c:pt>
                </c:lvl>
              </c:multiLvlStrCache>
            </c:multiLvlStrRef>
          </c:cat>
          <c:val>
            <c:numRef>
              <c:f>Tables!$P$4:$P$20</c:f>
              <c:numCache>
                <c:formatCode>\$#,##0;\-\$#,##0;\$#,##0</c:formatCode>
                <c:ptCount val="12"/>
                <c:pt idx="0">
                  <c:v>130086.93</c:v>
                </c:pt>
                <c:pt idx="1">
                  <c:v>115206.86</c:v>
                </c:pt>
                <c:pt idx="2">
                  <c:v>138740.68</c:v>
                </c:pt>
                <c:pt idx="3">
                  <c:v>125237.65</c:v>
                </c:pt>
                <c:pt idx="4">
                  <c:v>113402.29</c:v>
                </c:pt>
                <c:pt idx="5">
                  <c:v>132642.57</c:v>
                </c:pt>
                <c:pt idx="6">
                  <c:v>116561.67</c:v>
                </c:pt>
                <c:pt idx="7">
                  <c:v>167443.79</c:v>
                </c:pt>
                <c:pt idx="8">
                  <c:v>162882.21</c:v>
                </c:pt>
                <c:pt idx="9">
                  <c:v>121802.83</c:v>
                </c:pt>
                <c:pt idx="10">
                  <c:v>157830.96</c:v>
                </c:pt>
                <c:pt idx="11">
                  <c:v>122195.79</c:v>
                </c:pt>
              </c:numCache>
            </c:numRef>
          </c:val>
          <c:extLst>
            <c:ext xmlns:c16="http://schemas.microsoft.com/office/drawing/2014/chart" uri="{C3380CC4-5D6E-409C-BE32-E72D297353CC}">
              <c16:uniqueId val="{00000006-1CF5-45E1-92A1-5A3AE09ECCBE}"/>
            </c:ext>
          </c:extLst>
        </c:ser>
        <c:ser>
          <c:idx val="1"/>
          <c:order val="1"/>
          <c:tx>
            <c:strRef>
              <c:f>Tables!$Q$3</c:f>
              <c:strCache>
                <c:ptCount val="1"/>
                <c:pt idx="0">
                  <c:v>Total Budget Cost</c:v>
                </c:pt>
              </c:strCache>
            </c:strRef>
          </c:tx>
          <c:spPr>
            <a:solidFill>
              <a:srgbClr val="A0CBE8"/>
            </a:solidFill>
            <a:ln>
              <a:noFill/>
            </a:ln>
            <a:effectLst/>
          </c:spPr>
          <c:invertIfNegative val="0"/>
          <c:cat>
            <c:multiLvlStrRef>
              <c:f>Tables!$O$4:$O$20</c:f>
              <c:multiLvlStrCache>
                <c:ptCount val="12"/>
                <c:lvl>
                  <c:pt idx="0">
                    <c:v>Recruiting</c:v>
                  </c:pt>
                  <c:pt idx="1">
                    <c:v>Salaries</c:v>
                  </c:pt>
                  <c:pt idx="2">
                    <c:v>Training</c:v>
                  </c:pt>
                  <c:pt idx="3">
                    <c:v>Hardware</c:v>
                  </c:pt>
                  <c:pt idx="4">
                    <c:v>Licenses</c:v>
                  </c:pt>
                  <c:pt idx="5">
                    <c:v>Software</c:v>
                  </c:pt>
                  <c:pt idx="6">
                    <c:v>Advertising</c:v>
                  </c:pt>
                  <c:pt idx="7">
                    <c:v>Digital Tools</c:v>
                  </c:pt>
                  <c:pt idx="8">
                    <c:v>Events</c:v>
                  </c:pt>
                  <c:pt idx="9">
                    <c:v>Logistics</c:v>
                  </c:pt>
                  <c:pt idx="10">
                    <c:v>Repairs</c:v>
                  </c:pt>
                  <c:pt idx="11">
                    <c:v>Supplies</c:v>
                  </c:pt>
                </c:lvl>
                <c:lvl>
                  <c:pt idx="0">
                    <c:v>Human Resources</c:v>
                  </c:pt>
                  <c:pt idx="3">
                    <c:v>IT</c:v>
                  </c:pt>
                  <c:pt idx="6">
                    <c:v>Marketing</c:v>
                  </c:pt>
                  <c:pt idx="9">
                    <c:v>Operations</c:v>
                  </c:pt>
                </c:lvl>
              </c:multiLvlStrCache>
            </c:multiLvlStrRef>
          </c:cat>
          <c:val>
            <c:numRef>
              <c:f>Tables!$Q$4:$Q$20</c:f>
              <c:numCache>
                <c:formatCode>\$#,##0;\-\$#,##0;\$#,##0</c:formatCode>
                <c:ptCount val="12"/>
                <c:pt idx="0">
                  <c:v>133128.35</c:v>
                </c:pt>
                <c:pt idx="1">
                  <c:v>117977.93</c:v>
                </c:pt>
                <c:pt idx="2">
                  <c:v>133031.46</c:v>
                </c:pt>
                <c:pt idx="3">
                  <c:v>127509.84</c:v>
                </c:pt>
                <c:pt idx="4">
                  <c:v>127029.21</c:v>
                </c:pt>
                <c:pt idx="5">
                  <c:v>128138.97</c:v>
                </c:pt>
                <c:pt idx="6">
                  <c:v>119421.02</c:v>
                </c:pt>
                <c:pt idx="7">
                  <c:v>170347.33</c:v>
                </c:pt>
                <c:pt idx="8">
                  <c:v>167138.94</c:v>
                </c:pt>
                <c:pt idx="9">
                  <c:v>123703.5</c:v>
                </c:pt>
                <c:pt idx="10">
                  <c:v>153552.82999999999</c:v>
                </c:pt>
                <c:pt idx="11">
                  <c:v>124686.98</c:v>
                </c:pt>
              </c:numCache>
            </c:numRef>
          </c:val>
          <c:extLst>
            <c:ext xmlns:c16="http://schemas.microsoft.com/office/drawing/2014/chart" uri="{C3380CC4-5D6E-409C-BE32-E72D297353CC}">
              <c16:uniqueId val="{00000007-1CF5-45E1-92A1-5A3AE09ECCBE}"/>
            </c:ext>
          </c:extLst>
        </c:ser>
        <c:dLbls>
          <c:showLegendKey val="0"/>
          <c:showVal val="0"/>
          <c:showCatName val="0"/>
          <c:showSerName val="0"/>
          <c:showPercent val="0"/>
          <c:showBubbleSize val="0"/>
        </c:dLbls>
        <c:gapWidth val="40"/>
        <c:overlap val="100"/>
        <c:axId val="1399803856"/>
        <c:axId val="1399804816"/>
      </c:barChart>
      <c:catAx>
        <c:axId val="1399803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cap="none" spc="0" normalizeH="0" baseline="0">
                <a:solidFill>
                  <a:schemeClr val="bg1"/>
                </a:solidFill>
                <a:latin typeface="Segoe UI" panose="020B0502040204020203" pitchFamily="34" charset="0"/>
                <a:ea typeface="+mn-ea"/>
                <a:cs typeface="Segoe UI" panose="020B0502040204020203" pitchFamily="34" charset="0"/>
              </a:defRPr>
            </a:pPr>
            <a:endParaRPr lang="en-US"/>
          </a:p>
        </c:txPr>
        <c:crossAx val="1399804816"/>
        <c:crosses val="autoZero"/>
        <c:auto val="1"/>
        <c:lblAlgn val="ctr"/>
        <c:lblOffset val="100"/>
        <c:noMultiLvlLbl val="0"/>
      </c:catAx>
      <c:valAx>
        <c:axId val="139980481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399803856"/>
        <c:crosses val="autoZero"/>
        <c:crossBetween val="between"/>
      </c:valAx>
      <c:spPr>
        <a:noFill/>
        <a:ln>
          <a:noFill/>
        </a:ln>
        <a:effectLst/>
      </c:spPr>
    </c:plotArea>
    <c:legend>
      <c:legendPos val="b"/>
      <c:layout>
        <c:manualLayout>
          <c:xMode val="edge"/>
          <c:yMode val="edge"/>
          <c:x val="0.66851305814586504"/>
          <c:y val="2.6319984791533999E-2"/>
          <c:w val="0.33148693547910379"/>
          <c:h val="6.1145563703063878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2A44"/>
    </a:solidFill>
    <a:ln w="9525" cap="flat" cmpd="sng" algn="ctr">
      <a:noFill/>
      <a:round/>
    </a:ln>
    <a:effectLst/>
  </c:spPr>
  <c:txPr>
    <a:bodyPr/>
    <a:lstStyle/>
    <a:p>
      <a:pPr>
        <a:defRPr sz="1600">
          <a:solidFill>
            <a:schemeClr val="bg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[Zentra_Audit.xlsx]Tables!AccumTotals</c:name>
    <c:fmtId val="29"/>
  </c:pivotSource>
  <c:chart>
    <c:title>
      <c:tx>
        <c:rich>
          <a:bodyPr rot="0" spcFirstLastPara="1" vertOverflow="ellipsis" vert="horz" wrap="square" anchor="ctr" anchorCtr="1"/>
          <a:lstStyle/>
          <a:p>
            <a:pPr>
              <a:defRPr sz="2160" b="0" i="0" u="none" strike="noStrike" kern="1200" spc="0" baseline="0">
                <a:solidFill>
                  <a:schemeClr val="bg1"/>
                </a:solidFill>
                <a:latin typeface="Segoe UI" panose="020B0502040204020203" pitchFamily="34" charset="0"/>
                <a:ea typeface="+mn-ea"/>
                <a:cs typeface="Segoe UI" panose="020B0502040204020203" pitchFamily="34" charset="0"/>
              </a:defRPr>
            </a:pPr>
            <a:r>
              <a:rPr lang="en-CA"/>
              <a:t>Accumulated - Actual vs Budget</a:t>
            </a:r>
          </a:p>
        </c:rich>
      </c:tx>
      <c:layout>
        <c:manualLayout>
          <c:xMode val="edge"/>
          <c:yMode val="edge"/>
          <c:x val="8.8351583342484261E-2"/>
          <c:y val="2.0171166950763916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0CB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58346798211992E-2"/>
          <c:y val="0.14826627035043832"/>
          <c:w val="0.87720286870331321"/>
          <c:h val="0.72074629299707993"/>
        </c:manualLayout>
      </c:layout>
      <c:barChart>
        <c:barDir val="col"/>
        <c:grouping val="clustered"/>
        <c:varyColors val="0"/>
        <c:ser>
          <c:idx val="0"/>
          <c:order val="0"/>
          <c:tx>
            <c:strRef>
              <c:f>Tables!$G$3</c:f>
              <c:strCache>
                <c:ptCount val="1"/>
                <c:pt idx="0">
                  <c:v>Accumulated Budget Data</c:v>
                </c:pt>
              </c:strCache>
            </c:strRef>
          </c:tx>
          <c:spPr>
            <a:solidFill>
              <a:srgbClr val="A0CBE8"/>
            </a:solidFill>
            <a:ln>
              <a:noFill/>
            </a:ln>
            <a:effectLst/>
          </c:spPr>
          <c:invertIfNegative val="0"/>
          <c:cat>
            <c:strRef>
              <c:f>Tables!$F$4:$F$16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Tables!$G$4:$G$16</c:f>
              <c:numCache>
                <c:formatCode>\$#,##0;\-\$#,##0;\$#,##0</c:formatCode>
                <c:ptCount val="12"/>
                <c:pt idx="0">
                  <c:v>128725.53</c:v>
                </c:pt>
                <c:pt idx="1">
                  <c:v>273736.65000000002</c:v>
                </c:pt>
                <c:pt idx="2">
                  <c:v>424165.42000000004</c:v>
                </c:pt>
                <c:pt idx="3">
                  <c:v>555183.57000000007</c:v>
                </c:pt>
                <c:pt idx="4">
                  <c:v>671030.32000000007</c:v>
                </c:pt>
                <c:pt idx="5">
                  <c:v>822810.78</c:v>
                </c:pt>
                <c:pt idx="6">
                  <c:v>953464.43</c:v>
                </c:pt>
                <c:pt idx="7">
                  <c:v>1078488.1300000001</c:v>
                </c:pt>
                <c:pt idx="8">
                  <c:v>1217128.0100000002</c:v>
                </c:pt>
                <c:pt idx="9">
                  <c:v>1331002.8900000001</c:v>
                </c:pt>
                <c:pt idx="10">
                  <c:v>1488517.4900000002</c:v>
                </c:pt>
                <c:pt idx="11">
                  <c:v>1625666.3600000003</c:v>
                </c:pt>
              </c:numCache>
            </c:numRef>
          </c:val>
          <c:extLst>
            <c:ext xmlns:c16="http://schemas.microsoft.com/office/drawing/2014/chart" uri="{C3380CC4-5D6E-409C-BE32-E72D297353CC}">
              <c16:uniqueId val="{00000006-A279-4E45-9A41-CF295706D17F}"/>
            </c:ext>
          </c:extLst>
        </c:ser>
        <c:ser>
          <c:idx val="1"/>
          <c:order val="1"/>
          <c:tx>
            <c:strRef>
              <c:f>Tables!$H$3</c:f>
              <c:strCache>
                <c:ptCount val="1"/>
                <c:pt idx="0">
                  <c:v>Accumulated Total Actual Data</c:v>
                </c:pt>
              </c:strCache>
            </c:strRef>
          </c:tx>
          <c:spPr>
            <a:solidFill>
              <a:srgbClr val="4E79A7"/>
            </a:solidFill>
            <a:ln>
              <a:noFill/>
            </a:ln>
            <a:effectLst/>
          </c:spPr>
          <c:invertIfNegative val="0"/>
          <c:cat>
            <c:strRef>
              <c:f>Tables!$F$4:$F$16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Tables!$H$4:$H$16</c:f>
              <c:numCache>
                <c:formatCode>\$#,##0;\-\$#,##0;\$#,##0</c:formatCode>
                <c:ptCount val="12"/>
                <c:pt idx="0">
                  <c:v>123199.85999999999</c:v>
                </c:pt>
                <c:pt idx="1">
                  <c:v>274508.3</c:v>
                </c:pt>
                <c:pt idx="2">
                  <c:v>424549.48999999987</c:v>
                </c:pt>
                <c:pt idx="3">
                  <c:v>550953.79999999981</c:v>
                </c:pt>
                <c:pt idx="4">
                  <c:v>667041.02999999991</c:v>
                </c:pt>
                <c:pt idx="5">
                  <c:v>816250.03999999969</c:v>
                </c:pt>
                <c:pt idx="6">
                  <c:v>954076.03999999969</c:v>
                </c:pt>
                <c:pt idx="7">
                  <c:v>1072520.6499999997</c:v>
                </c:pt>
                <c:pt idx="8">
                  <c:v>1201146.1099999996</c:v>
                </c:pt>
                <c:pt idx="9">
                  <c:v>1310386.4399999997</c:v>
                </c:pt>
                <c:pt idx="10">
                  <c:v>1465167.5399999996</c:v>
                </c:pt>
                <c:pt idx="11">
                  <c:v>1604034.23</c:v>
                </c:pt>
              </c:numCache>
            </c:numRef>
          </c:val>
          <c:extLst>
            <c:ext xmlns:c16="http://schemas.microsoft.com/office/drawing/2014/chart" uri="{C3380CC4-5D6E-409C-BE32-E72D297353CC}">
              <c16:uniqueId val="{00000007-A279-4E45-9A41-CF295706D17F}"/>
            </c:ext>
          </c:extLst>
        </c:ser>
        <c:dLbls>
          <c:showLegendKey val="0"/>
          <c:showVal val="0"/>
          <c:showCatName val="0"/>
          <c:showSerName val="0"/>
          <c:showPercent val="0"/>
          <c:showBubbleSize val="0"/>
        </c:dLbls>
        <c:gapWidth val="41"/>
        <c:axId val="1558737216"/>
        <c:axId val="1558727136"/>
      </c:barChart>
      <c:catAx>
        <c:axId val="15587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558727136"/>
        <c:crosses val="autoZero"/>
        <c:auto val="1"/>
        <c:lblAlgn val="ctr"/>
        <c:lblOffset val="100"/>
        <c:noMultiLvlLbl val="0"/>
      </c:catAx>
      <c:valAx>
        <c:axId val="15587271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558737216"/>
        <c:crosses val="autoZero"/>
        <c:crossBetween val="between"/>
      </c:valAx>
      <c:spPr>
        <a:noFill/>
        <a:ln>
          <a:noFill/>
        </a:ln>
        <a:effectLst/>
      </c:spPr>
    </c:plotArea>
    <c:legend>
      <c:legendPos val="r"/>
      <c:layout>
        <c:manualLayout>
          <c:xMode val="edge"/>
          <c:yMode val="edge"/>
          <c:x val="0.69318313340277704"/>
          <c:y val="3.8545137895277741E-2"/>
          <c:w val="0.2987936132813242"/>
          <c:h val="0.1340090978132142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2A44"/>
    </a:solidFill>
    <a:ln w="9525" cap="flat" cmpd="sng" algn="ctr">
      <a:noFill/>
      <a:round/>
    </a:ln>
    <a:effectLst/>
  </c:spPr>
  <c:txPr>
    <a:bodyPr/>
    <a:lstStyle/>
    <a:p>
      <a:pPr>
        <a:defRPr sz="1800">
          <a:solidFill>
            <a:schemeClr val="bg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[Zentra_Audit.xlsx]Tables!CountryVar</c:name>
    <c:fmtId val="3"/>
  </c:pivotSource>
  <c:chart>
    <c:title>
      <c:tx>
        <c:rich>
          <a:bodyPr rot="0" spcFirstLastPara="1" vertOverflow="ellipsis" vert="horz" wrap="square" anchor="ctr" anchorCtr="1"/>
          <a:lstStyle/>
          <a:p>
            <a:pPr>
              <a:defRPr sz="1920" b="0"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a:t>	Variance by Region</a:t>
            </a:r>
          </a:p>
        </c:rich>
      </c:tx>
      <c:layout>
        <c:manualLayout>
          <c:xMode val="edge"/>
          <c:yMode val="edge"/>
          <c:x val="9.4541557305336837E-2"/>
          <c:y val="2.2727272727272728E-2"/>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E79A7"/>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rgbClr val="FFFFFF"/>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70356785750407"/>
          <c:y val="0.11426444972747424"/>
          <c:w val="0.61073954009729881"/>
          <c:h val="0.85679787771068006"/>
        </c:manualLayout>
      </c:layout>
      <c:barChart>
        <c:barDir val="bar"/>
        <c:grouping val="clustered"/>
        <c:varyColors val="0"/>
        <c:ser>
          <c:idx val="0"/>
          <c:order val="0"/>
          <c:tx>
            <c:strRef>
              <c:f>Tables!$AF$3</c:f>
              <c:strCache>
                <c:ptCount val="1"/>
                <c:pt idx="0">
                  <c:v>Total</c:v>
                </c:pt>
              </c:strCache>
            </c:strRef>
          </c:tx>
          <c:spPr>
            <a:solidFill>
              <a:srgbClr val="4E79A7"/>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rgbClr val="FFFFFF"/>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Tables!$AE$4:$AE$8</c:f>
              <c:strCache>
                <c:ptCount val="4"/>
                <c:pt idx="0">
                  <c:v>Calgary</c:v>
                </c:pt>
                <c:pt idx="1">
                  <c:v>Vancouver</c:v>
                </c:pt>
                <c:pt idx="2">
                  <c:v>Toronto</c:v>
                </c:pt>
                <c:pt idx="3">
                  <c:v>Montreal</c:v>
                </c:pt>
              </c:strCache>
            </c:strRef>
          </c:cat>
          <c:val>
            <c:numRef>
              <c:f>Tables!$AF$4:$AF$8</c:f>
              <c:numCache>
                <c:formatCode>\$#,##0;\-\$#,##0;\$#,##0</c:formatCode>
                <c:ptCount val="4"/>
                <c:pt idx="0">
                  <c:v>103.27000000001863</c:v>
                </c:pt>
                <c:pt idx="1">
                  <c:v>113.72999999998137</c:v>
                </c:pt>
                <c:pt idx="2">
                  <c:v>10019.619999999995</c:v>
                </c:pt>
                <c:pt idx="3">
                  <c:v>11395.510000000009</c:v>
                </c:pt>
              </c:numCache>
            </c:numRef>
          </c:val>
          <c:extLst>
            <c:ext xmlns:c16="http://schemas.microsoft.com/office/drawing/2014/chart" uri="{C3380CC4-5D6E-409C-BE32-E72D297353CC}">
              <c16:uniqueId val="{00000003-2FA6-4CB2-B270-BE9312F45F09}"/>
            </c:ext>
          </c:extLst>
        </c:ser>
        <c:dLbls>
          <c:dLblPos val="inBase"/>
          <c:showLegendKey val="0"/>
          <c:showVal val="1"/>
          <c:showCatName val="0"/>
          <c:showSerName val="0"/>
          <c:showPercent val="0"/>
          <c:showBubbleSize val="0"/>
        </c:dLbls>
        <c:gapWidth val="182"/>
        <c:axId val="1743071264"/>
        <c:axId val="1743070784"/>
      </c:barChart>
      <c:catAx>
        <c:axId val="174307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743070784"/>
        <c:crosses val="autoZero"/>
        <c:auto val="1"/>
        <c:lblAlgn val="ctr"/>
        <c:lblOffset val="100"/>
        <c:noMultiLvlLbl val="0"/>
      </c:catAx>
      <c:valAx>
        <c:axId val="1743070784"/>
        <c:scaling>
          <c:orientation val="minMax"/>
        </c:scaling>
        <c:delete val="1"/>
        <c:axPos val="b"/>
        <c:numFmt formatCode="\$#,##0;\-\$#,##0;\$#,##0" sourceLinked="1"/>
        <c:majorTickMark val="none"/>
        <c:minorTickMark val="none"/>
        <c:tickLblPos val="nextTo"/>
        <c:crossAx val="1743071264"/>
        <c:crosses val="autoZero"/>
        <c:crossBetween val="between"/>
      </c:valAx>
      <c:spPr>
        <a:solidFill>
          <a:srgbClr val="0F2A44"/>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2A44"/>
    </a:solidFill>
    <a:ln w="9525" cap="flat" cmpd="sng" algn="ctr">
      <a:noFill/>
      <a:round/>
    </a:ln>
    <a:effectLst/>
  </c:spPr>
  <c:txPr>
    <a:bodyPr/>
    <a:lstStyle/>
    <a:p>
      <a:pPr>
        <a:defRPr sz="1600">
          <a:solidFill>
            <a:schemeClr val="bg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[Zentra_Audit.xlsx]Tables!Top5</c:name>
    <c:fmtId val="8"/>
  </c:pivotSource>
  <c:chart>
    <c:title>
      <c:tx>
        <c:rich>
          <a:bodyPr rot="0" spcFirstLastPara="1" vertOverflow="ellipsis" vert="horz" wrap="square" anchor="ctr" anchorCtr="1"/>
          <a:lstStyle/>
          <a:p>
            <a:pPr>
              <a:defRPr lang="en-US" sz="2160" b="0"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a:t>Top 5 Variance by Category</a:t>
            </a:r>
          </a:p>
        </c:rich>
      </c:tx>
      <c:overlay val="0"/>
      <c:spPr>
        <a:noFill/>
        <a:ln>
          <a:noFill/>
        </a:ln>
        <a:effectLst/>
      </c:spPr>
      <c:txPr>
        <a:bodyPr rot="0" spcFirstLastPara="1" vertOverflow="ellipsis" vert="horz" wrap="square" anchor="ctr" anchorCtr="1"/>
        <a:lstStyle/>
        <a:p>
          <a:pPr>
            <a:defRPr lang="en-US" sz="2160" b="0"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9A14F"/>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9A14F"/>
          </a:solidFill>
          <a:ln>
            <a:noFill/>
          </a:ln>
          <a:effectLst/>
        </c:spPr>
      </c:pivotFmt>
    </c:pivotFmts>
    <c:plotArea>
      <c:layout/>
      <c:barChart>
        <c:barDir val="bar"/>
        <c:grouping val="clustered"/>
        <c:varyColors val="0"/>
        <c:ser>
          <c:idx val="0"/>
          <c:order val="0"/>
          <c:tx>
            <c:strRef>
              <c:f>Tables!$T$3</c:f>
              <c:strCache>
                <c:ptCount val="1"/>
                <c:pt idx="0">
                  <c:v>Total</c:v>
                </c:pt>
              </c:strCache>
            </c:strRef>
          </c:tx>
          <c:spPr>
            <a:solidFill>
              <a:srgbClr val="59A14F"/>
            </a:solidFill>
            <a:ln>
              <a:noFill/>
            </a:ln>
            <a:effectLst/>
          </c:spPr>
          <c:invertIfNegative val="1"/>
          <c:dLbls>
            <c:spPr>
              <a:noFill/>
              <a:ln>
                <a:noFill/>
              </a:ln>
              <a:effectLst/>
            </c:spPr>
            <c:txPr>
              <a:bodyPr rot="0" spcFirstLastPara="1" vertOverflow="ellipsis" vert="horz" wrap="square" anchor="ctr" anchorCtr="1"/>
              <a:lstStyle/>
              <a:p>
                <a:pPr>
                  <a:defRPr lang="en-US"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Tables!$S$4:$S$8</c:f>
              <c:strCache>
                <c:ptCount val="5"/>
                <c:pt idx="0">
                  <c:v>Digital Tools</c:v>
                </c:pt>
                <c:pt idx="1">
                  <c:v>Logistics</c:v>
                </c:pt>
                <c:pt idx="2">
                  <c:v>Repairs</c:v>
                </c:pt>
                <c:pt idx="3">
                  <c:v>Software</c:v>
                </c:pt>
                <c:pt idx="4">
                  <c:v>Training</c:v>
                </c:pt>
              </c:strCache>
            </c:strRef>
          </c:cat>
          <c:val>
            <c:numRef>
              <c:f>Tables!$T$4:$T$8</c:f>
              <c:numCache>
                <c:formatCode>0.00%</c:formatCode>
                <c:ptCount val="5"/>
                <c:pt idx="0">
                  <c:v>1.704482248122104E-2</c:v>
                </c:pt>
                <c:pt idx="1">
                  <c:v>1.5364722905980819E-2</c:v>
                </c:pt>
                <c:pt idx="2">
                  <c:v>-2.7860964854897204E-2</c:v>
                </c:pt>
                <c:pt idx="3">
                  <c:v>-3.5146216642759076E-2</c:v>
                </c:pt>
                <c:pt idx="4">
                  <c:v>-4.2916314682256373E-2</c:v>
                </c:pt>
              </c:numCache>
            </c:numRef>
          </c:val>
          <c:extLst>
            <c:ext xmlns:c14="http://schemas.microsoft.com/office/drawing/2007/8/2/chart" uri="{6F2FDCE9-48DA-4B69-8628-5D25D57E5C99}">
              <c14:invertSolidFillFmt>
                <c14:spPr xmlns:c14="http://schemas.microsoft.com/office/drawing/2007/8/2/chart">
                  <a:solidFill>
                    <a:srgbClr val="E15759"/>
                  </a:solidFill>
                  <a:ln>
                    <a:noFill/>
                  </a:ln>
                  <a:effectLst/>
                </c14:spPr>
              </c14:invertSolidFillFmt>
            </c:ext>
            <c:ext xmlns:c16="http://schemas.microsoft.com/office/drawing/2014/chart" uri="{C3380CC4-5D6E-409C-BE32-E72D297353CC}">
              <c16:uniqueId val="{00000004-CA56-4CB0-A228-93B35D86E1E8}"/>
            </c:ext>
          </c:extLst>
        </c:ser>
        <c:dLbls>
          <c:showLegendKey val="0"/>
          <c:showVal val="0"/>
          <c:showCatName val="0"/>
          <c:showSerName val="0"/>
          <c:showPercent val="0"/>
          <c:showBubbleSize val="0"/>
        </c:dLbls>
        <c:gapWidth val="182"/>
        <c:axId val="648888080"/>
        <c:axId val="1422744336"/>
      </c:barChart>
      <c:catAx>
        <c:axId val="648888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22744336"/>
        <c:crosses val="autoZero"/>
        <c:auto val="1"/>
        <c:lblAlgn val="ctr"/>
        <c:lblOffset val="100"/>
        <c:noMultiLvlLbl val="0"/>
      </c:catAx>
      <c:valAx>
        <c:axId val="1422744336"/>
        <c:scaling>
          <c:orientation val="minMax"/>
        </c:scaling>
        <c:delete val="1"/>
        <c:axPos val="b"/>
        <c:numFmt formatCode="0.00%" sourceLinked="1"/>
        <c:majorTickMark val="out"/>
        <c:minorTickMark val="none"/>
        <c:tickLblPos val="nextTo"/>
        <c:crossAx val="64888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2A44"/>
    </a:solidFill>
    <a:ln w="9525" cap="flat" cmpd="sng" algn="ctr">
      <a:noFill/>
      <a:round/>
    </a:ln>
    <a:effectLst/>
  </c:spPr>
  <c:txPr>
    <a:bodyPr/>
    <a:lstStyle/>
    <a:p>
      <a:pPr>
        <a:defRPr lang="en-US"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[Zentra_Audit.xlsx]Tables!Department</c:name>
    <c:fmtId val="8"/>
  </c:pivotSource>
  <c:chart>
    <c:title>
      <c:tx>
        <c:rich>
          <a:bodyPr rot="0" spcFirstLastPara="1" vertOverflow="ellipsis" vert="horz" wrap="square" anchor="ctr" anchorCtr="1"/>
          <a:lstStyle/>
          <a:p>
            <a:pPr>
              <a:defRPr lang="en-US" sz="1920" b="0"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a:t>Variance % by Department</a:t>
            </a:r>
          </a:p>
        </c:rich>
      </c:tx>
      <c:overlay val="0"/>
      <c:spPr>
        <a:noFill/>
        <a:ln>
          <a:noFill/>
        </a:ln>
        <a:effectLst/>
      </c:spPr>
      <c:txPr>
        <a:bodyPr rot="0" spcFirstLastPara="1" vertOverflow="ellipsis" vert="horz" wrap="square" anchor="ctr" anchorCtr="1"/>
        <a:lstStyle/>
        <a:p>
          <a:pPr>
            <a:defRPr lang="en-US" sz="1920" b="0"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E79A7"/>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419957571193972"/>
          <c:y val="0.11426444972747424"/>
          <c:w val="0.57580042428806022"/>
          <c:h val="0.85679787771068006"/>
        </c:manualLayout>
      </c:layout>
      <c:barChart>
        <c:barDir val="bar"/>
        <c:grouping val="clustered"/>
        <c:varyColors val="0"/>
        <c:ser>
          <c:idx val="0"/>
          <c:order val="0"/>
          <c:tx>
            <c:strRef>
              <c:f>Tables!$X$3</c:f>
              <c:strCache>
                <c:ptCount val="1"/>
                <c:pt idx="0">
                  <c:v>Total</c:v>
                </c:pt>
              </c:strCache>
            </c:strRef>
          </c:tx>
          <c:spPr>
            <a:solidFill>
              <a:srgbClr val="4E79A7"/>
            </a:solidFill>
            <a:ln>
              <a:noFill/>
            </a:ln>
            <a:effectLst/>
          </c:spPr>
          <c:invertIfNegative val="0"/>
          <c:dLbls>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Tables!$W$4:$W$7</c:f>
              <c:strCache>
                <c:ptCount val="4"/>
                <c:pt idx="0">
                  <c:v>Human Resources</c:v>
                </c:pt>
                <c:pt idx="1">
                  <c:v>Operations</c:v>
                </c:pt>
                <c:pt idx="2">
                  <c:v>Marketing</c:v>
                </c:pt>
                <c:pt idx="3">
                  <c:v>IT</c:v>
                </c:pt>
              </c:strCache>
            </c:strRef>
          </c:cat>
          <c:val>
            <c:numRef>
              <c:f>Tables!$X$4:$X$7</c:f>
              <c:numCache>
                <c:formatCode>0.00%</c:formatCode>
                <c:ptCount val="4"/>
                <c:pt idx="0">
                  <c:v>2.6883586080351965E-4</c:v>
                </c:pt>
                <c:pt idx="1">
                  <c:v>2.8295034939126458E-4</c:v>
                </c:pt>
                <c:pt idx="2">
                  <c:v>2.1929218945051183E-2</c:v>
                </c:pt>
                <c:pt idx="3">
                  <c:v>2.9778323824294923E-2</c:v>
                </c:pt>
              </c:numCache>
            </c:numRef>
          </c:val>
          <c:extLst>
            <c:ext xmlns:c16="http://schemas.microsoft.com/office/drawing/2014/chart" uri="{C3380CC4-5D6E-409C-BE32-E72D297353CC}">
              <c16:uniqueId val="{00000000-45CA-44AA-BA9E-5ED2414BCFA3}"/>
            </c:ext>
          </c:extLst>
        </c:ser>
        <c:dLbls>
          <c:dLblPos val="inEnd"/>
          <c:showLegendKey val="0"/>
          <c:showVal val="1"/>
          <c:showCatName val="0"/>
          <c:showSerName val="0"/>
          <c:showPercent val="0"/>
          <c:showBubbleSize val="0"/>
        </c:dLbls>
        <c:gapWidth val="182"/>
        <c:axId val="1747098752"/>
        <c:axId val="1422156512"/>
      </c:barChart>
      <c:catAx>
        <c:axId val="174709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22156512"/>
        <c:crosses val="autoZero"/>
        <c:auto val="1"/>
        <c:lblAlgn val="ctr"/>
        <c:lblOffset val="100"/>
        <c:noMultiLvlLbl val="0"/>
      </c:catAx>
      <c:valAx>
        <c:axId val="1422156512"/>
        <c:scaling>
          <c:orientation val="minMax"/>
        </c:scaling>
        <c:delete val="1"/>
        <c:axPos val="b"/>
        <c:numFmt formatCode="0.00%" sourceLinked="1"/>
        <c:majorTickMark val="none"/>
        <c:minorTickMark val="none"/>
        <c:tickLblPos val="nextTo"/>
        <c:crossAx val="174709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2A44"/>
    </a:solidFill>
    <a:ln w="9525" cap="flat" cmpd="sng" algn="ctr">
      <a:noFill/>
      <a:round/>
    </a:ln>
    <a:effectLst/>
  </c:spPr>
  <c:txPr>
    <a:bodyPr/>
    <a:lstStyle/>
    <a:p>
      <a:pPr>
        <a:defRPr lang="en-US"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svg"/><Relationship Id="rId5" Type="http://schemas.openxmlformats.org/officeDocument/2006/relationships/image" Target="../media/image4.png"/><Relationship Id="rId10" Type="http://schemas.openxmlformats.org/officeDocument/2006/relationships/chart" Target="../charts/chart5.xml"/><Relationship Id="rId4" Type="http://schemas.openxmlformats.org/officeDocument/2006/relationships/image" Target="../media/image3.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17318</xdr:colOff>
      <xdr:row>6</xdr:row>
      <xdr:rowOff>164644</xdr:rowOff>
    </xdr:from>
    <xdr:to>
      <xdr:col>4</xdr:col>
      <xdr:colOff>217714</xdr:colOff>
      <xdr:row>16</xdr:row>
      <xdr:rowOff>65313</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7C231F8-230E-46F3-87E2-483F2B755C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1628" y="1844854"/>
              <a:ext cx="2023481" cy="179995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727968</xdr:colOff>
      <xdr:row>6</xdr:row>
      <xdr:rowOff>173675</xdr:rowOff>
    </xdr:from>
    <xdr:to>
      <xdr:col>36</xdr:col>
      <xdr:colOff>478972</xdr:colOff>
      <xdr:row>35</xdr:row>
      <xdr:rowOff>137721</xdr:rowOff>
    </xdr:to>
    <xdr:graphicFrame macro="">
      <xdr:nvGraphicFramePr>
        <xdr:cNvPr id="6" name="Chart 5">
          <a:extLst>
            <a:ext uri="{FF2B5EF4-FFF2-40B4-BE49-F238E27FC236}">
              <a16:creationId xmlns:a16="http://schemas.microsoft.com/office/drawing/2014/main" id="{AECE744E-78BC-4153-8A20-1FA707E0C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51955</xdr:colOff>
      <xdr:row>15</xdr:row>
      <xdr:rowOff>104403</xdr:rowOff>
    </xdr:from>
    <xdr:to>
      <xdr:col>7</xdr:col>
      <xdr:colOff>13220</xdr:colOff>
      <xdr:row>27</xdr:row>
      <xdr:rowOff>136210</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D01599C3-DE79-4F4F-A202-5AD6E82327A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47898" y="3283032"/>
              <a:ext cx="3618865" cy="212186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260569</xdr:colOff>
      <xdr:row>4</xdr:row>
      <xdr:rowOff>9907</xdr:rowOff>
    </xdr:from>
    <xdr:to>
      <xdr:col>12</xdr:col>
      <xdr:colOff>50242</xdr:colOff>
      <xdr:row>5</xdr:row>
      <xdr:rowOff>116488</xdr:rowOff>
    </xdr:to>
    <xdr:sp macro="" textlink="Tables!B21">
      <xdr:nvSpPr>
        <xdr:cNvPr id="9" name="TextBox 8">
          <a:extLst>
            <a:ext uri="{FF2B5EF4-FFF2-40B4-BE49-F238E27FC236}">
              <a16:creationId xmlns:a16="http://schemas.microsoft.com/office/drawing/2014/main" id="{C7C55471-5217-7487-67CE-866986D102D6}"/>
            </a:ext>
          </a:extLst>
        </xdr:cNvPr>
        <xdr:cNvSpPr txBox="1"/>
      </xdr:nvSpPr>
      <xdr:spPr>
        <a:xfrm>
          <a:off x="6214217" y="939380"/>
          <a:ext cx="1204816" cy="37453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A777F9-28C1-4F43-BCF9-B61D050FC8DC}" type="TxLink">
            <a:rPr lang="en-US" sz="2000" b="1" i="0" u="none" strike="noStrike">
              <a:solidFill>
                <a:schemeClr val="bg1"/>
              </a:solidFill>
              <a:latin typeface="Calibri"/>
              <a:ea typeface="Calibri"/>
              <a:cs typeface="Calibri"/>
            </a:rPr>
            <a:pPr algn="ctr"/>
            <a:t>$1,604,034</a:t>
          </a:fld>
          <a:endParaRPr lang="en-CA" sz="2000" b="1">
            <a:solidFill>
              <a:schemeClr val="bg1"/>
            </a:solidFill>
          </a:endParaRPr>
        </a:p>
      </xdr:txBody>
    </xdr:sp>
    <xdr:clientData/>
  </xdr:twoCellAnchor>
  <xdr:twoCellAnchor>
    <xdr:from>
      <xdr:col>12</xdr:col>
      <xdr:colOff>1010762</xdr:colOff>
      <xdr:row>4</xdr:row>
      <xdr:rowOff>23617</xdr:rowOff>
    </xdr:from>
    <xdr:to>
      <xdr:col>14</xdr:col>
      <xdr:colOff>224690</xdr:colOff>
      <xdr:row>6</xdr:row>
      <xdr:rowOff>11874</xdr:rowOff>
    </xdr:to>
    <xdr:sp macro="" textlink="Tables!C21">
      <xdr:nvSpPr>
        <xdr:cNvPr id="14" name="TextBox 13">
          <a:extLst>
            <a:ext uri="{FF2B5EF4-FFF2-40B4-BE49-F238E27FC236}">
              <a16:creationId xmlns:a16="http://schemas.microsoft.com/office/drawing/2014/main" id="{06E703D8-99C1-4E14-89A1-C132E1207592}"/>
            </a:ext>
          </a:extLst>
        </xdr:cNvPr>
        <xdr:cNvSpPr txBox="1"/>
      </xdr:nvSpPr>
      <xdr:spPr>
        <a:xfrm>
          <a:off x="9499442" y="1120897"/>
          <a:ext cx="2048568" cy="44545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D605E31-3EEA-4D37-BAEE-D3CE2BEB0A96}" type="TxLink">
            <a:rPr lang="en-US" sz="2000" b="1" i="0" u="none" strike="noStrike">
              <a:solidFill>
                <a:schemeClr val="bg1"/>
              </a:solidFill>
              <a:latin typeface="Calibri"/>
              <a:ea typeface="Calibri"/>
              <a:cs typeface="Calibri"/>
            </a:rPr>
            <a:pPr marL="0" indent="0" algn="ctr"/>
            <a:t>$1,625,666</a:t>
          </a:fld>
          <a:endParaRPr lang="en-CA" sz="2000" b="1" i="0" u="none" strike="noStrike">
            <a:solidFill>
              <a:schemeClr val="bg1"/>
            </a:solidFill>
            <a:latin typeface="Calibri"/>
            <a:ea typeface="Calibri"/>
            <a:cs typeface="Calibri"/>
          </a:endParaRPr>
        </a:p>
      </xdr:txBody>
    </xdr:sp>
    <xdr:clientData/>
  </xdr:twoCellAnchor>
  <xdr:twoCellAnchor>
    <xdr:from>
      <xdr:col>10</xdr:col>
      <xdr:colOff>72487</xdr:colOff>
      <xdr:row>2</xdr:row>
      <xdr:rowOff>192595</xdr:rowOff>
    </xdr:from>
    <xdr:to>
      <xdr:col>12</xdr:col>
      <xdr:colOff>200967</xdr:colOff>
      <xdr:row>4</xdr:row>
      <xdr:rowOff>58616</xdr:rowOff>
    </xdr:to>
    <xdr:sp macro="" textlink="">
      <xdr:nvSpPr>
        <xdr:cNvPr id="10" name="TextBox 9">
          <a:extLst>
            <a:ext uri="{FF2B5EF4-FFF2-40B4-BE49-F238E27FC236}">
              <a16:creationId xmlns:a16="http://schemas.microsoft.com/office/drawing/2014/main" id="{6CE543F1-9B40-433A-BFDD-F69AB0E71F46}"/>
            </a:ext>
          </a:extLst>
        </xdr:cNvPr>
        <xdr:cNvSpPr txBox="1"/>
      </xdr:nvSpPr>
      <xdr:spPr>
        <a:xfrm>
          <a:off x="6026135" y="561035"/>
          <a:ext cx="1543623" cy="427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800" b="1">
              <a:solidFill>
                <a:schemeClr val="bg1"/>
              </a:solidFill>
              <a:latin typeface="Segoe UI" panose="020B0502040204020203" pitchFamily="34" charset="0"/>
              <a:cs typeface="Segoe UI" panose="020B0502040204020203" pitchFamily="34" charset="0"/>
            </a:rPr>
            <a:t>Total actual</a:t>
          </a:r>
          <a:endParaRPr lang="en-CA" sz="105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12</xdr:col>
      <xdr:colOff>551850</xdr:colOff>
      <xdr:row>2</xdr:row>
      <xdr:rowOff>175847</xdr:rowOff>
    </xdr:from>
    <xdr:to>
      <xdr:col>15</xdr:col>
      <xdr:colOff>66990</xdr:colOff>
      <xdr:row>4</xdr:row>
      <xdr:rowOff>79039</xdr:rowOff>
    </xdr:to>
    <xdr:sp macro="" textlink="">
      <xdr:nvSpPr>
        <xdr:cNvPr id="11" name="TextBox 10">
          <a:extLst>
            <a:ext uri="{FF2B5EF4-FFF2-40B4-BE49-F238E27FC236}">
              <a16:creationId xmlns:a16="http://schemas.microsoft.com/office/drawing/2014/main" id="{28A50EA5-968E-4C50-AAB7-44F02FCD1323}"/>
            </a:ext>
          </a:extLst>
        </xdr:cNvPr>
        <xdr:cNvSpPr txBox="1"/>
      </xdr:nvSpPr>
      <xdr:spPr>
        <a:xfrm>
          <a:off x="7920641" y="544287"/>
          <a:ext cx="1558305" cy="464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800" b="1">
              <a:solidFill>
                <a:schemeClr val="bg1"/>
              </a:solidFill>
              <a:latin typeface="Segoe UI" panose="020B0502040204020203" pitchFamily="34" charset="0"/>
              <a:ea typeface="+mn-ea"/>
              <a:cs typeface="Segoe UI" panose="020B0502040204020203" pitchFamily="34" charset="0"/>
            </a:rPr>
            <a:t>Total budget</a:t>
          </a:r>
        </a:p>
      </xdr:txBody>
    </xdr:sp>
    <xdr:clientData/>
  </xdr:twoCellAnchor>
  <xdr:twoCellAnchor>
    <xdr:from>
      <xdr:col>15</xdr:col>
      <xdr:colOff>606206</xdr:colOff>
      <xdr:row>2</xdr:row>
      <xdr:rowOff>192596</xdr:rowOff>
    </xdr:from>
    <xdr:to>
      <xdr:col>18</xdr:col>
      <xdr:colOff>110065</xdr:colOff>
      <xdr:row>4</xdr:row>
      <xdr:rowOff>95788</xdr:rowOff>
    </xdr:to>
    <xdr:sp macro="" textlink="">
      <xdr:nvSpPr>
        <xdr:cNvPr id="12" name="TextBox 11">
          <a:extLst>
            <a:ext uri="{FF2B5EF4-FFF2-40B4-BE49-F238E27FC236}">
              <a16:creationId xmlns:a16="http://schemas.microsoft.com/office/drawing/2014/main" id="{EFB33B8A-1460-4C34-8447-679063088060}"/>
            </a:ext>
          </a:extLst>
        </xdr:cNvPr>
        <xdr:cNvSpPr txBox="1"/>
      </xdr:nvSpPr>
      <xdr:spPr>
        <a:xfrm>
          <a:off x="10018162" y="561036"/>
          <a:ext cx="1145090" cy="464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800" b="1">
              <a:solidFill>
                <a:schemeClr val="bg1"/>
              </a:solidFill>
              <a:latin typeface="Segoe UI" panose="020B0502040204020203" pitchFamily="34" charset="0"/>
              <a:ea typeface="+mn-ea"/>
              <a:cs typeface="Segoe UI" panose="020B0502040204020203" pitchFamily="34" charset="0"/>
            </a:rPr>
            <a:t>Variance</a:t>
          </a:r>
        </a:p>
      </xdr:txBody>
    </xdr:sp>
    <xdr:clientData/>
  </xdr:twoCellAnchor>
  <xdr:twoCellAnchor>
    <xdr:from>
      <xdr:col>19</xdr:col>
      <xdr:colOff>455967</xdr:colOff>
      <xdr:row>2</xdr:row>
      <xdr:rowOff>192592</xdr:rowOff>
    </xdr:from>
    <xdr:to>
      <xdr:col>21</xdr:col>
      <xdr:colOff>602790</xdr:colOff>
      <xdr:row>4</xdr:row>
      <xdr:rowOff>120904</xdr:rowOff>
    </xdr:to>
    <xdr:sp macro="" textlink="">
      <xdr:nvSpPr>
        <xdr:cNvPr id="13" name="TextBox 12">
          <a:extLst>
            <a:ext uri="{FF2B5EF4-FFF2-40B4-BE49-F238E27FC236}">
              <a16:creationId xmlns:a16="http://schemas.microsoft.com/office/drawing/2014/main" id="{6C303036-7235-4EE3-BA96-C33C29C4D347}"/>
            </a:ext>
          </a:extLst>
        </xdr:cNvPr>
        <xdr:cNvSpPr txBox="1"/>
      </xdr:nvSpPr>
      <xdr:spPr>
        <a:xfrm>
          <a:off x="11793857" y="561032"/>
          <a:ext cx="2131373" cy="489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800" b="1">
              <a:solidFill>
                <a:schemeClr val="bg1"/>
              </a:solidFill>
              <a:latin typeface="Segoe UI" panose="020B0502040204020203" pitchFamily="34" charset="0"/>
              <a:ea typeface="+mn-ea"/>
              <a:cs typeface="Segoe UI" panose="020B0502040204020203" pitchFamily="34" charset="0"/>
            </a:rPr>
            <a:t>Variance in %</a:t>
          </a:r>
        </a:p>
      </xdr:txBody>
    </xdr:sp>
    <xdr:clientData/>
  </xdr:twoCellAnchor>
  <xdr:twoCellAnchor>
    <xdr:from>
      <xdr:col>15</xdr:col>
      <xdr:colOff>366347</xdr:colOff>
      <xdr:row>4</xdr:row>
      <xdr:rowOff>8797</xdr:rowOff>
    </xdr:from>
    <xdr:to>
      <xdr:col>17</xdr:col>
      <xdr:colOff>408759</xdr:colOff>
      <xdr:row>6</xdr:row>
      <xdr:rowOff>97691</xdr:rowOff>
    </xdr:to>
    <xdr:sp macro="" textlink="Tables!D21">
      <xdr:nvSpPr>
        <xdr:cNvPr id="15" name="TextBox 14">
          <a:extLst>
            <a:ext uri="{FF2B5EF4-FFF2-40B4-BE49-F238E27FC236}">
              <a16:creationId xmlns:a16="http://schemas.microsoft.com/office/drawing/2014/main" id="{B3073098-70B3-4A57-810F-367EE2693E7B}"/>
            </a:ext>
          </a:extLst>
        </xdr:cNvPr>
        <xdr:cNvSpPr txBox="1"/>
      </xdr:nvSpPr>
      <xdr:spPr>
        <a:xfrm>
          <a:off x="12235962" y="1181105"/>
          <a:ext cx="1263566" cy="52850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62D76C7-4E9B-4031-9D35-8888199C96A4}" type="TxLink">
            <a:rPr lang="en-US" sz="2000" b="1" i="0" u="none" strike="noStrike">
              <a:solidFill>
                <a:schemeClr val="bg1"/>
              </a:solidFill>
              <a:latin typeface="Calibri"/>
              <a:ea typeface="Calibri"/>
              <a:cs typeface="Calibri"/>
            </a:rPr>
            <a:pPr marL="0" indent="0" algn="ctr"/>
            <a:t>$21,632</a:t>
          </a:fld>
          <a:endParaRPr lang="en-CA" sz="2000" b="1" i="0" u="none" strike="noStrike">
            <a:solidFill>
              <a:schemeClr val="bg1"/>
            </a:solidFill>
            <a:latin typeface="Calibri"/>
            <a:ea typeface="Calibri"/>
            <a:cs typeface="Calibri"/>
          </a:endParaRPr>
        </a:p>
      </xdr:txBody>
    </xdr:sp>
    <xdr:clientData/>
  </xdr:twoCellAnchor>
  <xdr:twoCellAnchor>
    <xdr:from>
      <xdr:col>19</xdr:col>
      <xdr:colOff>871418</xdr:colOff>
      <xdr:row>4</xdr:row>
      <xdr:rowOff>20669</xdr:rowOff>
    </xdr:from>
    <xdr:to>
      <xdr:col>21</xdr:col>
      <xdr:colOff>222993</xdr:colOff>
      <xdr:row>5</xdr:row>
      <xdr:rowOff>171420</xdr:rowOff>
    </xdr:to>
    <xdr:sp macro="" textlink="Tables!E21">
      <xdr:nvSpPr>
        <xdr:cNvPr id="16" name="TextBox 15">
          <a:extLst>
            <a:ext uri="{FF2B5EF4-FFF2-40B4-BE49-F238E27FC236}">
              <a16:creationId xmlns:a16="http://schemas.microsoft.com/office/drawing/2014/main" id="{C268FA26-E545-4A09-8CAC-F0BCB104A6E1}"/>
            </a:ext>
          </a:extLst>
        </xdr:cNvPr>
        <xdr:cNvSpPr txBox="1"/>
      </xdr:nvSpPr>
      <xdr:spPr>
        <a:xfrm>
          <a:off x="14739818" y="1117949"/>
          <a:ext cx="1698535" cy="425071"/>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DAAABD-D17F-4E12-AA2C-4D1B1F9432C2}" type="TxLink">
            <a:rPr lang="en-US" sz="2000" b="1" i="0" u="none" strike="noStrike">
              <a:solidFill>
                <a:schemeClr val="bg1"/>
              </a:solidFill>
              <a:latin typeface="Calibri"/>
              <a:ea typeface="Calibri"/>
              <a:cs typeface="Calibri"/>
            </a:rPr>
            <a:pPr marL="0" indent="0" algn="ctr"/>
            <a:t>1.33%</a:t>
          </a:fld>
          <a:endParaRPr lang="en-CA" sz="2000" b="1" i="0" u="none" strike="noStrike">
            <a:solidFill>
              <a:schemeClr val="bg1"/>
            </a:solidFill>
            <a:latin typeface="Calibri"/>
            <a:ea typeface="Calibri"/>
            <a:cs typeface="Calibri"/>
          </a:endParaRPr>
        </a:p>
      </xdr:txBody>
    </xdr:sp>
    <xdr:clientData/>
  </xdr:twoCellAnchor>
  <xdr:twoCellAnchor editAs="oneCell">
    <xdr:from>
      <xdr:col>4</xdr:col>
      <xdr:colOff>51413</xdr:colOff>
      <xdr:row>6</xdr:row>
      <xdr:rowOff>165855</xdr:rowOff>
    </xdr:from>
    <xdr:to>
      <xdr:col>7</xdr:col>
      <xdr:colOff>121227</xdr:colOff>
      <xdr:row>15</xdr:row>
      <xdr:rowOff>69273</xdr:rowOff>
    </xdr:to>
    <mc:AlternateContent xmlns:mc="http://schemas.openxmlformats.org/markup-compatibility/2006" xmlns:a14="http://schemas.microsoft.com/office/drawing/2010/main">
      <mc:Choice Requires="a14">
        <xdr:graphicFrame macro="">
          <xdr:nvGraphicFramePr>
            <xdr:cNvPr id="18" name="DEPARTMENT 1">
              <a:extLst>
                <a:ext uri="{FF2B5EF4-FFF2-40B4-BE49-F238E27FC236}">
                  <a16:creationId xmlns:a16="http://schemas.microsoft.com/office/drawing/2014/main" id="{EDA797A2-A718-43D3-B1D5-01FD068261F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074523" y="1846065"/>
              <a:ext cx="1896709" cy="161220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0</xdr:row>
      <xdr:rowOff>0</xdr:rowOff>
    </xdr:from>
    <xdr:to>
      <xdr:col>3</xdr:col>
      <xdr:colOff>365760</xdr:colOff>
      <xdr:row>6</xdr:row>
      <xdr:rowOff>156748</xdr:rowOff>
    </xdr:to>
    <xdr:pic>
      <xdr:nvPicPr>
        <xdr:cNvPr id="8" name="Picture 7">
          <a:extLst>
            <a:ext uri="{FF2B5EF4-FFF2-40B4-BE49-F238E27FC236}">
              <a16:creationId xmlns:a16="http://schemas.microsoft.com/office/drawing/2014/main" id="{F989A356-113B-E192-8003-FD644D852F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160" y="0"/>
          <a:ext cx="1645920" cy="1807517"/>
        </a:xfrm>
        <a:prstGeom prst="rect">
          <a:avLst/>
        </a:prstGeom>
      </xdr:spPr>
    </xdr:pic>
    <xdr:clientData/>
  </xdr:twoCellAnchor>
  <xdr:twoCellAnchor editAs="oneCell">
    <xdr:from>
      <xdr:col>10</xdr:col>
      <xdr:colOff>205740</xdr:colOff>
      <xdr:row>3</xdr:row>
      <xdr:rowOff>193040</xdr:rowOff>
    </xdr:from>
    <xdr:to>
      <xdr:col>10</xdr:col>
      <xdr:colOff>629920</xdr:colOff>
      <xdr:row>4</xdr:row>
      <xdr:rowOff>209665</xdr:rowOff>
    </xdr:to>
    <xdr:pic>
      <xdr:nvPicPr>
        <xdr:cNvPr id="19" name="Graphic 18" descr="Coins outline">
          <a:extLst>
            <a:ext uri="{FF2B5EF4-FFF2-40B4-BE49-F238E27FC236}">
              <a16:creationId xmlns:a16="http://schemas.microsoft.com/office/drawing/2014/main" id="{17192263-9381-11E5-3CBF-7D8DB74123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149340" y="924560"/>
          <a:ext cx="424180" cy="434340"/>
        </a:xfrm>
        <a:prstGeom prst="rect">
          <a:avLst/>
        </a:prstGeom>
      </xdr:spPr>
    </xdr:pic>
    <xdr:clientData/>
  </xdr:twoCellAnchor>
  <xdr:twoCellAnchor editAs="oneCell">
    <xdr:from>
      <xdr:col>12</xdr:col>
      <xdr:colOff>883920</xdr:colOff>
      <xdr:row>3</xdr:row>
      <xdr:rowOff>215900</xdr:rowOff>
    </xdr:from>
    <xdr:to>
      <xdr:col>13</xdr:col>
      <xdr:colOff>254670</xdr:colOff>
      <xdr:row>5</xdr:row>
      <xdr:rowOff>34405</xdr:rowOff>
    </xdr:to>
    <xdr:pic>
      <xdr:nvPicPr>
        <xdr:cNvPr id="21" name="Graphic 20" descr="Calculator outline">
          <a:extLst>
            <a:ext uri="{FF2B5EF4-FFF2-40B4-BE49-F238E27FC236}">
              <a16:creationId xmlns:a16="http://schemas.microsoft.com/office/drawing/2014/main" id="{D90338AD-8359-6171-9EBD-FE7F08D31E4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372600" y="947420"/>
          <a:ext cx="498510" cy="510540"/>
        </a:xfrm>
        <a:prstGeom prst="rect">
          <a:avLst/>
        </a:prstGeom>
      </xdr:spPr>
    </xdr:pic>
    <xdr:clientData/>
  </xdr:twoCellAnchor>
  <xdr:twoCellAnchor>
    <xdr:from>
      <xdr:col>9</xdr:col>
      <xdr:colOff>374764</xdr:colOff>
      <xdr:row>6</xdr:row>
      <xdr:rowOff>166583</xdr:rowOff>
    </xdr:from>
    <xdr:to>
      <xdr:col>22</xdr:col>
      <xdr:colOff>235736</xdr:colOff>
      <xdr:row>35</xdr:row>
      <xdr:rowOff>144812</xdr:rowOff>
    </xdr:to>
    <xdr:graphicFrame macro="">
      <xdr:nvGraphicFramePr>
        <xdr:cNvPr id="22" name="Chart 21">
          <a:extLst>
            <a:ext uri="{FF2B5EF4-FFF2-40B4-BE49-F238E27FC236}">
              <a16:creationId xmlns:a16="http://schemas.microsoft.com/office/drawing/2014/main" id="{14381F7A-BBA2-4B3D-81DB-435885A63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829679</xdr:colOff>
      <xdr:row>37</xdr:row>
      <xdr:rowOff>50994</xdr:rowOff>
    </xdr:from>
    <xdr:to>
      <xdr:col>27</xdr:col>
      <xdr:colOff>578046</xdr:colOff>
      <xdr:row>64</xdr:row>
      <xdr:rowOff>177516</xdr:rowOff>
    </xdr:to>
    <xdr:graphicFrame macro="">
      <xdr:nvGraphicFramePr>
        <xdr:cNvPr id="23" name="Chart 22">
          <a:extLst>
            <a:ext uri="{FF2B5EF4-FFF2-40B4-BE49-F238E27FC236}">
              <a16:creationId xmlns:a16="http://schemas.microsoft.com/office/drawing/2014/main" id="{99A6DAB7-4B15-4AE8-A18E-C1F8AFF21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374764</xdr:colOff>
      <xdr:row>36</xdr:row>
      <xdr:rowOff>287388</xdr:rowOff>
    </xdr:from>
    <xdr:to>
      <xdr:col>22</xdr:col>
      <xdr:colOff>130629</xdr:colOff>
      <xdr:row>64</xdr:row>
      <xdr:rowOff>34641</xdr:rowOff>
    </xdr:to>
    <xdr:graphicFrame macro="">
      <xdr:nvGraphicFramePr>
        <xdr:cNvPr id="26" name="Chart 25">
          <a:extLst>
            <a:ext uri="{FF2B5EF4-FFF2-40B4-BE49-F238E27FC236}">
              <a16:creationId xmlns:a16="http://schemas.microsoft.com/office/drawing/2014/main" id="{DA46A90F-807D-4EFA-AC0E-4681245E2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263620</xdr:colOff>
      <xdr:row>36</xdr:row>
      <xdr:rowOff>241494</xdr:rowOff>
    </xdr:from>
    <xdr:to>
      <xdr:col>36</xdr:col>
      <xdr:colOff>431526</xdr:colOff>
      <xdr:row>64</xdr:row>
      <xdr:rowOff>30579</xdr:rowOff>
    </xdr:to>
    <xdr:graphicFrame macro="">
      <xdr:nvGraphicFramePr>
        <xdr:cNvPr id="27" name="Chart 26">
          <a:extLst>
            <a:ext uri="{FF2B5EF4-FFF2-40B4-BE49-F238E27FC236}">
              <a16:creationId xmlns:a16="http://schemas.microsoft.com/office/drawing/2014/main" id="{69B4759E-8116-4B01-A5BD-1DB7B0EE4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6021.54745474537" backgroundQuery="1" createdVersion="8" refreshedVersion="8" minRefreshableVersion="3" recordCount="0" supportSubquery="1" supportAdvancedDrill="1" xr:uid="{705B75A7-3AE5-40DF-B12B-5D15A483C5E5}">
  <cacheSource type="external" connectionId="8"/>
  <cacheFields count="3">
    <cacheField name="[CategoryMapping].[DEPARTMENT].[DEPARTMENT]" caption="DEPARTMENT" numFmtId="0" hierarchy="29" level="1">
      <sharedItems count="4">
        <s v="Human Resources"/>
        <s v="IT"/>
        <s v="Marketing"/>
        <s v="Operations"/>
      </sharedItems>
    </cacheField>
    <cacheField name="[Measures].[Variance in %]" caption="Variance in %" numFmtId="0" hierarchy="40" level="32767"/>
    <cacheField name="[CostCenters].[REGION].[REGION]" caption="REGION" numFmtId="0" hierarchy="32" level="1">
      <sharedItems containsSemiMixedTypes="0" containsNonDate="0" containsString="0"/>
    </cacheField>
  </cacheFields>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0" memberValueDatatype="7" unbalanced="0"/>
    <cacheHierarchy uniqueName="[Actuals_Data].[date (Month)]" caption="date (Month)" attribute="1" defaultMemberUniqueName="[Actuals_Data].[date (Month)].[All]" allUniqueName="[Actuals_Data].[date (Month)].[All]" dimensionUniqueName="[Actuals_Data]" displayFolder="" count="0" memberValueDatatype="130" unbalanced="0"/>
    <cacheHierarchy uniqueName="[Actuals_Data].[department]" caption="department" attribute="1" defaultMemberUniqueName="[Actuals_Data].[department].[All]" allUniqueName="[Actuals_Data].[department].[All]" dimensionUniqueName="[Actuals_Data]" displayFolder="" count="0" memberValueDatatype="130" unbalanced="0"/>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cacheHierarchy uniqueName="[Calendar].[Month ENG]" caption="Month ENG" attribute="1" time="1" defaultMemberUniqueName="[Calendar].[Month ENG].[All]" allUniqueName="[Calendar].[Month ENG].[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0" memberValueDatatype="130" unbalanced="0"/>
    <cacheHierarchy uniqueName="[CategoryMapping].[DEPARTMENT]" caption="DEPARTMENT" attribute="1" defaultMemberUniqueName="[CategoryMapping].[DEPARTMENT].[All]" allUniqueName="[CategoryMapping].[DEPARTMENT].[All]" dimensionUniqueName="[CategoryMapping]" displayFolder="" count="2" memberValueDatatype="130" unbalanced="0">
      <fieldsUsage count="2">
        <fieldUsage x="-1"/>
        <fieldUsage x="0"/>
      </fieldsUsage>
    </cacheHierarchy>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fieldsUsage count="2">
        <fieldUsage x="-1"/>
        <fieldUsage x="2"/>
      </fieldsUsage>
    </cacheHierarchy>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cacheHierarchy uniqueName="[Measures].[Total Budget Cost]" caption="Total Budget Cost" measure="1" displayFolder="" measureGroup="Budget_Data" count="0"/>
    <cacheHierarchy uniqueName="[Measures].[Accumulated Total Data]" caption="Accumulated Total Data" measure="1" displayFolder="" measureGroup="Actuals_Data" count="0"/>
    <cacheHierarchy uniqueName="[Measures].[Accumulated Budget Data]" caption="Accumulated Budget Data" measure="1" displayFolder="" measureGroup="Budget_Data" count="0"/>
    <cacheHierarchy uniqueName="[Measures].[Variance]" caption="Variance" measure="1" displayFolder="" measureGroup="Budget_Data" count="0"/>
    <cacheHierarchy uniqueName="[Measures].[Variance in %]" caption="Variance in %" measure="1" displayFolder="" measureGroup="Budget_Data" count="0" oneField="1">
      <fieldsUsage count="1">
        <fieldUsage x="1"/>
      </fieldsUsage>
    </cacheHierarchy>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dimensions count="7">
    <dimension name="Actuals_Data" uniqueName="[Actuals_Data]" caption="Actuals_Data"/>
    <dimension name="Budget_Data" uniqueName="[Budget_Data]" caption="Budget_Data"/>
    <dimension name="Calendar" uniqueName="[Calendar]" caption="Calendar"/>
    <dimension name="Category_Budget" uniqueName="[Category_Budget]" caption="Category_Budget"/>
    <dimension name="CategoryMapping" uniqueName="[CategoryMapping]" caption="CategoryMapping"/>
    <dimension name="CostCenters" uniqueName="[CostCenters]" caption="CostCenters"/>
    <dimension measure="1" name="Measures" uniqueName="[Measures]" caption="Measures"/>
  </dimensions>
  <measureGroups count="7">
    <measureGroup name="Actuals_Data" caption="Actuals_Data"/>
    <measureGroup name="Budget_Data" caption="Budget_Data"/>
    <measureGroup name="Calendar" caption="Calendar"/>
    <measureGroup name="Category_Actuals" caption="Category_Actuals"/>
    <measureGroup name="Category_Budget" caption="Category_Budget"/>
    <measureGroup name="CategoryMapping" caption="CategoryMapping"/>
    <measureGroup name="CostCenters" caption="CostCenters"/>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4" dimension="3"/>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6021.569926157405" backgroundQuery="1" createdVersion="8" refreshedVersion="8" minRefreshableVersion="3" recordCount="0" supportSubquery="1" supportAdvancedDrill="1" xr:uid="{B8FEA6F6-07A2-47A8-89CD-BE4C1090532A}">
  <cacheSource type="external" connectionId="8"/>
  <cacheFields count="4">
    <cacheField name="[Measures].[Total Data]" caption="Total Data" numFmtId="0" hierarchy="35" level="32767"/>
    <cacheField name="[Measures].[Total Budget Cost]" caption="Total Budget Cost" numFmtId="0" hierarchy="36" level="32767"/>
    <cacheField name="[CategoryMapping].[CATEGORY].[CATEGORY]" caption="CATEGORY" numFmtId="0" hierarchy="28" level="1">
      <sharedItems count="12">
        <s v="Recruiting"/>
        <s v="Salaries"/>
        <s v="Training"/>
        <s v="Hardware"/>
        <s v="Licenses"/>
        <s v="Software"/>
        <s v="Advertising"/>
        <s v="Digital Tools"/>
        <s v="Events"/>
        <s v="Logistics"/>
        <s v="Repairs"/>
        <s v="Supplies"/>
      </sharedItems>
    </cacheField>
    <cacheField name="[CategoryMapping].[DEPARTMENT].[DEPARTMENT]" caption="DEPARTMENT" numFmtId="0" hierarchy="29" level="1">
      <sharedItems count="4">
        <s v="Human Resources"/>
        <s v="IT"/>
        <s v="Marketing"/>
        <s v="Operations"/>
      </sharedItems>
    </cacheField>
  </cacheFields>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0" memberValueDatatype="7" unbalanced="0"/>
    <cacheHierarchy uniqueName="[Actuals_Data].[date (Month)]" caption="date (Month)" attribute="1" defaultMemberUniqueName="[Actuals_Data].[date (Month)].[All]" allUniqueName="[Actuals_Data].[date (Month)].[All]" dimensionUniqueName="[Actuals_Data]" displayFolder="" count="0" memberValueDatatype="130" unbalanced="0"/>
    <cacheHierarchy uniqueName="[Actuals_Data].[department]" caption="department" attribute="1" defaultMemberUniqueName="[Actuals_Data].[department].[All]" allUniqueName="[Actuals_Data].[department].[All]" dimensionUniqueName="[Actuals_Data]" displayFolder="" count="0" memberValueDatatype="130" unbalanced="0"/>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cacheHierarchy uniqueName="[Calendar].[Month ENG]" caption="Month ENG" attribute="1" time="1" defaultMemberUniqueName="[Calendar].[Month ENG].[All]" allUniqueName="[Calendar].[Month ENG].[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2" memberValueDatatype="130" unbalanced="0">
      <fieldsUsage count="2">
        <fieldUsage x="-1"/>
        <fieldUsage x="2"/>
      </fieldsUsage>
    </cacheHierarchy>
    <cacheHierarchy uniqueName="[CategoryMapping].[DEPARTMENT]" caption="DEPARTMENT" attribute="1" defaultMemberUniqueName="[CategoryMapping].[DEPARTMENT].[All]" allUniqueName="[CategoryMapping].[DEPARTMENT].[All]" dimensionUniqueName="[CategoryMapping]" displayFolder="" count="2" memberValueDatatype="130" unbalanced="0">
      <fieldsUsage count="2">
        <fieldUsage x="-1"/>
        <fieldUsage x="3"/>
      </fieldsUsage>
    </cacheHierarchy>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oneField="1">
      <fieldsUsage count="1">
        <fieldUsage x="0"/>
      </fieldsUsage>
    </cacheHierarchy>
    <cacheHierarchy uniqueName="[Measures].[Total Budget Cost]" caption="Total Budget Cost" measure="1" displayFolder="" measureGroup="Budget_Data" count="0" oneField="1">
      <fieldsUsage count="1">
        <fieldUsage x="1"/>
      </fieldsUsage>
    </cacheHierarchy>
    <cacheHierarchy uniqueName="[Measures].[Accumulated Total Data]" caption="Accumulated Total Data" measure="1" displayFolder="" measureGroup="Actuals_Data" count="0"/>
    <cacheHierarchy uniqueName="[Measures].[Accumulated Budget Data]" caption="Accumulated Budget Data" measure="1" displayFolder="" measureGroup="Budget_Data" count="0"/>
    <cacheHierarchy uniqueName="[Measures].[Variance]" caption="Variance" measure="1" displayFolder="" measureGroup="Budget_Data" count="0"/>
    <cacheHierarchy uniqueName="[Measures].[Variance in %]" caption="Variance in %" measure="1" displayFolder="" measureGroup="Budget_Data" count="0"/>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dimensions count="7">
    <dimension name="Actuals_Data" uniqueName="[Actuals_Data]" caption="Actuals_Data"/>
    <dimension name="Budget_Data" uniqueName="[Budget_Data]" caption="Budget_Data"/>
    <dimension name="Calendar" uniqueName="[Calendar]" caption="Calendar"/>
    <dimension name="Category_Budget" uniqueName="[Category_Budget]" caption="Category_Budget"/>
    <dimension name="CategoryMapping" uniqueName="[CategoryMapping]" caption="CategoryMapping"/>
    <dimension name="CostCenters" uniqueName="[CostCenters]" caption="CostCenters"/>
    <dimension measure="1" name="Measures" uniqueName="[Measures]" caption="Measures"/>
  </dimensions>
  <measureGroups count="7">
    <measureGroup name="Actuals_Data" caption="Actuals_Data"/>
    <measureGroup name="Budget_Data" caption="Budget_Data"/>
    <measureGroup name="Calendar" caption="Calendar"/>
    <measureGroup name="Category_Actuals" caption="Category_Actuals"/>
    <measureGroup name="Category_Budget" caption="Category_Budget"/>
    <measureGroup name="CategoryMapping" caption="CategoryMapping"/>
    <measureGroup name="CostCenters" caption="CostCenters"/>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4" dimension="3"/>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6021.569926736112" backgroundQuery="1" createdVersion="8" refreshedVersion="8" minRefreshableVersion="3" recordCount="0" supportSubquery="1" supportAdvancedDrill="1" xr:uid="{CC5037FC-4ACE-44DA-9405-7492C3DBDB87}">
  <cacheSource type="external" connectionId="8"/>
  <cacheFields count="4">
    <cacheField name="[Calendar].[Month ENG].[Month ENG]" caption="Month ENG" numFmtId="0" hierarchy="24" level="1">
      <sharedItems count="12">
        <s v="Jan"/>
        <s v="Feb"/>
        <s v="Mar"/>
        <s v="Apr"/>
        <s v="May"/>
        <s v="Jun"/>
        <s v="Jul"/>
        <s v="Aug"/>
        <s v="Sep"/>
        <s v="Oct"/>
        <s v="Nov"/>
        <s v="Dec"/>
      </sharedItems>
    </cacheField>
    <cacheField name="[Measures].[Accumulated Total Data]" caption="Accumulated Total Data" numFmtId="0" hierarchy="37" level="32767"/>
    <cacheField name="[Measures].[Accumulated Budget Data]" caption="Accumulated Budget Data" numFmtId="0" hierarchy="38" level="32767"/>
    <cacheField name="[CategoryMapping].[DEPARTMENT].[DEPARTMENT]" caption="DEPARTMENT" numFmtId="0" hierarchy="29" level="1">
      <sharedItems containsSemiMixedTypes="0" containsNonDate="0" containsString="0"/>
    </cacheField>
  </cacheFields>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0" memberValueDatatype="7" unbalanced="0"/>
    <cacheHierarchy uniqueName="[Actuals_Data].[date (Month)]" caption="date (Month)" attribute="1" defaultMemberUniqueName="[Actuals_Data].[date (Month)].[All]" allUniqueName="[Actuals_Data].[date (Month)].[All]" dimensionUniqueName="[Actuals_Data]" displayFolder="" count="0" memberValueDatatype="130" unbalanced="0"/>
    <cacheHierarchy uniqueName="[Actuals_Data].[department]" caption="department" attribute="1" defaultMemberUniqueName="[Actuals_Data].[department].[All]" allUniqueName="[Actuals_Data].[department].[All]" dimensionUniqueName="[Actuals_Data]" displayFolder="" count="0" memberValueDatatype="130" unbalanced="0"/>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ENG]" caption="Month ENG" attribute="1" time="1" defaultMemberUniqueName="[Calendar].[Month ENG].[All]" allUniqueName="[Calendar].[Month ENG].[All]" dimensionUniqueName="[Calendar]" displayFolder="" count="2" memberValueDatatype="13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0" memberValueDatatype="130" unbalanced="0"/>
    <cacheHierarchy uniqueName="[CategoryMapping].[DEPARTMENT]" caption="DEPARTMENT" attribute="1" defaultMemberUniqueName="[CategoryMapping].[DEPARTMENT].[All]" allUniqueName="[CategoryMapping].[DEPARTMENT].[All]" dimensionUniqueName="[CategoryMapping]" displayFolder="" count="2" memberValueDatatype="130" unbalanced="0">
      <fieldsUsage count="2">
        <fieldUsage x="-1"/>
        <fieldUsage x="3"/>
      </fieldsUsage>
    </cacheHierarchy>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cacheHierarchy uniqueName="[Measures].[Total Budget Cost]" caption="Total Budget Cost" measure="1" displayFolder="" measureGroup="Budget_Data" count="0"/>
    <cacheHierarchy uniqueName="[Measures].[Accumulated Total Data]" caption="Accumulated Total Data" measure="1" displayFolder="" measureGroup="Actuals_Data" count="0" oneField="1">
      <fieldsUsage count="1">
        <fieldUsage x="1"/>
      </fieldsUsage>
    </cacheHierarchy>
    <cacheHierarchy uniqueName="[Measures].[Accumulated Budget Data]" caption="Accumulated Budget Data" measure="1" displayFolder="" measureGroup="Budget_Data" count="0" oneField="1">
      <fieldsUsage count="1">
        <fieldUsage x="2"/>
      </fieldsUsage>
    </cacheHierarchy>
    <cacheHierarchy uniqueName="[Measures].[Variance]" caption="Variance" measure="1" displayFolder="" measureGroup="Budget_Data" count="0"/>
    <cacheHierarchy uniqueName="[Measures].[Variance in %]" caption="Variance in %" measure="1" displayFolder="" measureGroup="Budget_Data" count="0"/>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dimensions count="7">
    <dimension name="Actuals_Data" uniqueName="[Actuals_Data]" caption="Actuals_Data"/>
    <dimension name="Budget_Data" uniqueName="[Budget_Data]" caption="Budget_Data"/>
    <dimension name="Calendar" uniqueName="[Calendar]" caption="Calendar"/>
    <dimension name="Category_Budget" uniqueName="[Category_Budget]" caption="Category_Budget"/>
    <dimension name="CategoryMapping" uniqueName="[CategoryMapping]" caption="CategoryMapping"/>
    <dimension name="CostCenters" uniqueName="[CostCenters]" caption="CostCenters"/>
    <dimension measure="1" name="Measures" uniqueName="[Measures]" caption="Measures"/>
  </dimensions>
  <measureGroups count="7">
    <measureGroup name="Actuals_Data" caption="Actuals_Data"/>
    <measureGroup name="Budget_Data" caption="Budget_Data"/>
    <measureGroup name="Calendar" caption="Calendar"/>
    <measureGroup name="Category_Actuals" caption="Category_Actuals"/>
    <measureGroup name="Category_Budget" caption="Category_Budget"/>
    <measureGroup name="CategoryMapping" caption="CategoryMapping"/>
    <measureGroup name="CostCenters" caption="CostCenters"/>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4" dimension="3"/>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6021.569927314813" backgroundQuery="1" createdVersion="8" refreshedVersion="8" minRefreshableVersion="3" recordCount="0" supportSubquery="1" supportAdvancedDrill="1" xr:uid="{C46F416B-AC89-4815-A21D-0C93EA391948}">
  <cacheSource type="external" connectionId="8"/>
  <cacheFields count="4">
    <cacheField name="[Measures].[Total Data]" caption="Total Data" numFmtId="0" hierarchy="35" level="32767"/>
    <cacheField name="[Measures].[Total Budget Cost]" caption="Total Budget Cost" numFmtId="0" hierarchy="36" level="32767"/>
    <cacheField name="[Calendar].[Month ENG].[Month ENG]" caption="Month ENG" numFmtId="0" hierarchy="24" level="1">
      <sharedItems count="12">
        <s v="Jan"/>
        <s v="Feb"/>
        <s v="Mar"/>
        <s v="Apr"/>
        <s v="May"/>
        <s v="Jun"/>
        <s v="Jul"/>
        <s v="Aug"/>
        <s v="Sep"/>
        <s v="Oct"/>
        <s v="Nov"/>
        <s v="Dec"/>
      </sharedItems>
    </cacheField>
    <cacheField name="[CategoryMapping].[DEPARTMENT].[DEPARTMENT]" caption="DEPARTMENT" numFmtId="0" hierarchy="29" level="1">
      <sharedItems containsSemiMixedTypes="0" containsNonDate="0" containsString="0"/>
    </cacheField>
  </cacheFields>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0" memberValueDatatype="7" unbalanced="0"/>
    <cacheHierarchy uniqueName="[Actuals_Data].[date (Month)]" caption="date (Month)" attribute="1" defaultMemberUniqueName="[Actuals_Data].[date (Month)].[All]" allUniqueName="[Actuals_Data].[date (Month)].[All]" dimensionUniqueName="[Actuals_Data]" displayFolder="" count="0" memberValueDatatype="130" unbalanced="0"/>
    <cacheHierarchy uniqueName="[Actuals_Data].[department]" caption="department" attribute="1" defaultMemberUniqueName="[Actuals_Data].[department].[All]" allUniqueName="[Actuals_Data].[department].[All]" dimensionUniqueName="[Actuals_Data]" displayFolder="" count="0" memberValueDatatype="130" unbalanced="0"/>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cacheHierarchy uniqueName="[Calendar].[Month ENG]" caption="Month ENG" attribute="1" time="1" defaultMemberUniqueName="[Calendar].[Month ENG].[All]" allUniqueName="[Calendar].[Month ENG].[All]" dimensionUniqueName="[Calendar]" displayFolder="" count="2" memberValueDatatype="13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0" memberValueDatatype="130" unbalanced="0"/>
    <cacheHierarchy uniqueName="[CategoryMapping].[DEPARTMENT]" caption="DEPARTMENT" attribute="1" defaultMemberUniqueName="[CategoryMapping].[DEPARTMENT].[All]" allUniqueName="[CategoryMapping].[DEPARTMENT].[All]" dimensionUniqueName="[CategoryMapping]" displayFolder="" count="2" memberValueDatatype="130" unbalanced="0">
      <fieldsUsage count="2">
        <fieldUsage x="-1"/>
        <fieldUsage x="3"/>
      </fieldsUsage>
    </cacheHierarchy>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oneField="1">
      <fieldsUsage count="1">
        <fieldUsage x="0"/>
      </fieldsUsage>
    </cacheHierarchy>
    <cacheHierarchy uniqueName="[Measures].[Total Budget Cost]" caption="Total Budget Cost" measure="1" displayFolder="" measureGroup="Budget_Data" count="0" oneField="1">
      <fieldsUsage count="1">
        <fieldUsage x="1"/>
      </fieldsUsage>
    </cacheHierarchy>
    <cacheHierarchy uniqueName="[Measures].[Accumulated Total Data]" caption="Accumulated Total Data" measure="1" displayFolder="" measureGroup="Actuals_Data" count="0"/>
    <cacheHierarchy uniqueName="[Measures].[Accumulated Budget Data]" caption="Accumulated Budget Data" measure="1" displayFolder="" measureGroup="Budget_Data" count="0"/>
    <cacheHierarchy uniqueName="[Measures].[Variance]" caption="Variance" measure="1" displayFolder="" measureGroup="Budget_Data" count="0"/>
    <cacheHierarchy uniqueName="[Measures].[Variance in %]" caption="Variance in %" measure="1" displayFolder="" measureGroup="Budget_Data" count="0"/>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dimensions count="7">
    <dimension name="Actuals_Data" uniqueName="[Actuals_Data]" caption="Actuals_Data"/>
    <dimension name="Budget_Data" uniqueName="[Budget_Data]" caption="Budget_Data"/>
    <dimension name="Calendar" uniqueName="[Calendar]" caption="Calendar"/>
    <dimension name="Category_Budget" uniqueName="[Category_Budget]" caption="Category_Budget"/>
    <dimension name="CategoryMapping" uniqueName="[CategoryMapping]" caption="CategoryMapping"/>
    <dimension name="CostCenters" uniqueName="[CostCenters]" caption="CostCenters"/>
    <dimension measure="1" name="Measures" uniqueName="[Measures]" caption="Measures"/>
  </dimensions>
  <measureGroups count="7">
    <measureGroup name="Actuals_Data" caption="Actuals_Data"/>
    <measureGroup name="Budget_Data" caption="Budget_Data"/>
    <measureGroup name="Calendar" caption="Calendar"/>
    <measureGroup name="Category_Actuals" caption="Category_Actuals"/>
    <measureGroup name="Category_Budget" caption="Category_Budget"/>
    <measureGroup name="CategoryMapping" caption="CategoryMapping"/>
    <measureGroup name="CostCenters" caption="CostCenters"/>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4" dimension="3"/>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6021.569927777775" backgroundQuery="1" createdVersion="8" refreshedVersion="8" minRefreshableVersion="3" recordCount="0" supportSubquery="1" supportAdvancedDrill="1" xr:uid="{31BE2F8C-E032-49CA-9158-0E8139269B13}">
  <cacheSource type="external" connectionId="8"/>
  <cacheFields count="5">
    <cacheField name="[Measures].[Total Data]" caption="Total Data" numFmtId="0" hierarchy="35" level="32767"/>
    <cacheField name="[Measures].[Total Budget Cost]" caption="Total Budget Cost" numFmtId="0" hierarchy="36" level="32767"/>
    <cacheField name="[Measures].[Variance]" caption="Variance" numFmtId="0" hierarchy="39" level="32767"/>
    <cacheField name="[Measures].[Variance in %]" caption="Variance in %" numFmtId="0" hierarchy="40" level="32767"/>
    <cacheField name="[CategoryMapping].[DEPARTMENT].[DEPARTMENT]" caption="DEPARTMENT" numFmtId="0" hierarchy="29" level="1">
      <sharedItems containsSemiMixedTypes="0" containsNonDate="0" containsString="0"/>
    </cacheField>
  </cacheFields>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0" memberValueDatatype="7" unbalanced="0"/>
    <cacheHierarchy uniqueName="[Actuals_Data].[date (Month)]" caption="date (Month)" attribute="1" defaultMemberUniqueName="[Actuals_Data].[date (Month)].[All]" allUniqueName="[Actuals_Data].[date (Month)].[All]" dimensionUniqueName="[Actuals_Data]" displayFolder="" count="0" memberValueDatatype="130" unbalanced="0"/>
    <cacheHierarchy uniqueName="[Actuals_Data].[department]" caption="department" attribute="1" defaultMemberUniqueName="[Actuals_Data].[department].[All]" allUniqueName="[Actuals_Data].[department].[All]" dimensionUniqueName="[Actuals_Data]" displayFolder="" count="0" memberValueDatatype="130" unbalanced="0"/>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cacheHierarchy uniqueName="[Calendar].[Month ENG]" caption="Month ENG" attribute="1" time="1" defaultMemberUniqueName="[Calendar].[Month ENG].[All]" allUniqueName="[Calendar].[Month ENG].[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0" memberValueDatatype="130" unbalanced="0"/>
    <cacheHierarchy uniqueName="[CategoryMapping].[DEPARTMENT]" caption="DEPARTMENT" attribute="1" defaultMemberUniqueName="[CategoryMapping].[DEPARTMENT].[All]" allUniqueName="[CategoryMapping].[DEPARTMENT].[All]" dimensionUniqueName="[CategoryMapping]" displayFolder="" count="2" memberValueDatatype="130" unbalanced="0">
      <fieldsUsage count="2">
        <fieldUsage x="-1"/>
        <fieldUsage x="4"/>
      </fieldsUsage>
    </cacheHierarchy>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oneField="1">
      <fieldsUsage count="1">
        <fieldUsage x="0"/>
      </fieldsUsage>
    </cacheHierarchy>
    <cacheHierarchy uniqueName="[Measures].[Total Budget Cost]" caption="Total Budget Cost" measure="1" displayFolder="" measureGroup="Budget_Data" count="0" oneField="1">
      <fieldsUsage count="1">
        <fieldUsage x="1"/>
      </fieldsUsage>
    </cacheHierarchy>
    <cacheHierarchy uniqueName="[Measures].[Accumulated Total Data]" caption="Accumulated Total Data" measure="1" displayFolder="" measureGroup="Actuals_Data" count="0"/>
    <cacheHierarchy uniqueName="[Measures].[Accumulated Budget Data]" caption="Accumulated Budget Data" measure="1" displayFolder="" measureGroup="Budget_Data" count="0"/>
    <cacheHierarchy uniqueName="[Measures].[Variance]" caption="Variance" measure="1" displayFolder="" measureGroup="Budget_Data" count="0" oneField="1">
      <fieldsUsage count="1">
        <fieldUsage x="2"/>
      </fieldsUsage>
    </cacheHierarchy>
    <cacheHierarchy uniqueName="[Measures].[Variance in %]" caption="Variance in %" measure="1" displayFolder="" measureGroup="Budget_Data" count="0" oneField="1">
      <fieldsUsage count="1">
        <fieldUsage x="3"/>
      </fieldsUsage>
    </cacheHierarchy>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dimensions count="7">
    <dimension name="Actuals_Data" uniqueName="[Actuals_Data]" caption="Actuals_Data"/>
    <dimension name="Budget_Data" uniqueName="[Budget_Data]" caption="Budget_Data"/>
    <dimension name="Calendar" uniqueName="[Calendar]" caption="Calendar"/>
    <dimension name="Category_Budget" uniqueName="[Category_Budget]" caption="Category_Budget"/>
    <dimension name="CategoryMapping" uniqueName="[CategoryMapping]" caption="CategoryMapping"/>
    <dimension name="CostCenters" uniqueName="[CostCenters]" caption="CostCenters"/>
    <dimension measure="1" name="Measures" uniqueName="[Measures]" caption="Measures"/>
  </dimensions>
  <measureGroups count="7">
    <measureGroup name="Actuals_Data" caption="Actuals_Data"/>
    <measureGroup name="Budget_Data" caption="Budget_Data"/>
    <measureGroup name="Calendar" caption="Calendar"/>
    <measureGroup name="Category_Actuals" caption="Category_Actuals"/>
    <measureGroup name="Category_Budget" caption="Category_Budget"/>
    <measureGroup name="CategoryMapping" caption="CategoryMapping"/>
    <measureGroup name="CostCenters" caption="CostCenters"/>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4" dimension="3"/>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6021.569928240744" backgroundQuery="1" createdVersion="8" refreshedVersion="8" minRefreshableVersion="3" recordCount="0" supportSubquery="1" supportAdvancedDrill="1" xr:uid="{A01BB990-4773-428F-AF37-64FE64E7377E}">
  <cacheSource type="external" connectionId="8"/>
  <cacheFields count="3">
    <cacheField name="[CategoryMapping].[CATEGORY].[CATEGORY]" caption="CATEGORY" numFmtId="0" hierarchy="28" level="1">
      <sharedItems count="5">
        <s v="Digital Tools"/>
        <s v="Logistics"/>
        <s v="Repairs"/>
        <s v="Software"/>
        <s v="Training"/>
      </sharedItems>
    </cacheField>
    <cacheField name="[Measures].[Variance in %]" caption="Variance in %" numFmtId="0" hierarchy="40" level="32767"/>
    <cacheField name="[CategoryMapping].[DEPARTMENT].[DEPARTMENT]" caption="DEPARTMENT" numFmtId="0" hierarchy="29" level="1">
      <sharedItems containsSemiMixedTypes="0" containsNonDate="0" containsString="0"/>
    </cacheField>
  </cacheFields>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0" memberValueDatatype="7" unbalanced="0"/>
    <cacheHierarchy uniqueName="[Actuals_Data].[date (Month)]" caption="date (Month)" attribute="1" defaultMemberUniqueName="[Actuals_Data].[date (Month)].[All]" allUniqueName="[Actuals_Data].[date (Month)].[All]" dimensionUniqueName="[Actuals_Data]" displayFolder="" count="0" memberValueDatatype="130" unbalanced="0"/>
    <cacheHierarchy uniqueName="[Actuals_Data].[department]" caption="department" attribute="1" defaultMemberUniqueName="[Actuals_Data].[department].[All]" allUniqueName="[Actuals_Data].[department].[All]" dimensionUniqueName="[Actuals_Data]" displayFolder="" count="0" memberValueDatatype="130" unbalanced="0"/>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cacheHierarchy uniqueName="[Calendar].[Month ENG]" caption="Month ENG" attribute="1" time="1" defaultMemberUniqueName="[Calendar].[Month ENG].[All]" allUniqueName="[Calendar].[Month ENG].[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2" memberValueDatatype="130" unbalanced="0">
      <fieldsUsage count="2">
        <fieldUsage x="-1"/>
        <fieldUsage x="0"/>
      </fieldsUsage>
    </cacheHierarchy>
    <cacheHierarchy uniqueName="[CategoryMapping].[DEPARTMENT]" caption="DEPARTMENT" attribute="1" defaultMemberUniqueName="[CategoryMapping].[DEPARTMENT].[All]" allUniqueName="[CategoryMapping].[DEPARTMENT].[All]" dimensionUniqueName="[CategoryMapping]" displayFolder="" count="2" memberValueDatatype="130" unbalanced="0">
      <fieldsUsage count="2">
        <fieldUsage x="-1"/>
        <fieldUsage x="2"/>
      </fieldsUsage>
    </cacheHierarchy>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cacheHierarchy uniqueName="[Measures].[Total Budget Cost]" caption="Total Budget Cost" measure="1" displayFolder="" measureGroup="Budget_Data" count="0"/>
    <cacheHierarchy uniqueName="[Measures].[Accumulated Total Data]" caption="Accumulated Total Data" measure="1" displayFolder="" measureGroup="Actuals_Data" count="0"/>
    <cacheHierarchy uniqueName="[Measures].[Accumulated Budget Data]" caption="Accumulated Budget Data" measure="1" displayFolder="" measureGroup="Budget_Data" count="0"/>
    <cacheHierarchy uniqueName="[Measures].[Variance]" caption="Variance" measure="1" displayFolder="" measureGroup="Budget_Data" count="0"/>
    <cacheHierarchy uniqueName="[Measures].[Variance in %]" caption="Variance in %" measure="1" displayFolder="" measureGroup="Budget_Data" count="0" oneField="1">
      <fieldsUsage count="1">
        <fieldUsage x="1"/>
      </fieldsUsage>
    </cacheHierarchy>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dimensions count="7">
    <dimension name="Actuals_Data" uniqueName="[Actuals_Data]" caption="Actuals_Data"/>
    <dimension name="Budget_Data" uniqueName="[Budget_Data]" caption="Budget_Data"/>
    <dimension name="Calendar" uniqueName="[Calendar]" caption="Calendar"/>
    <dimension name="Category_Budget" uniqueName="[Category_Budget]" caption="Category_Budget"/>
    <dimension name="CategoryMapping" uniqueName="[CategoryMapping]" caption="CategoryMapping"/>
    <dimension name="CostCenters" uniqueName="[CostCenters]" caption="CostCenters"/>
    <dimension measure="1" name="Measures" uniqueName="[Measures]" caption="Measures"/>
  </dimensions>
  <measureGroups count="7">
    <measureGroup name="Actuals_Data" caption="Actuals_Data"/>
    <measureGroup name="Budget_Data" caption="Budget_Data"/>
    <measureGroup name="Calendar" caption="Calendar"/>
    <measureGroup name="Category_Actuals" caption="Category_Actuals"/>
    <measureGroup name="Category_Budget" caption="Category_Budget"/>
    <measureGroup name="CategoryMapping" caption="CategoryMapping"/>
    <measureGroup name="CostCenters" caption="CostCenters"/>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4" dimension="3"/>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6021.569928935183" backgroundQuery="1" createdVersion="8" refreshedVersion="8" minRefreshableVersion="3" recordCount="0" supportSubquery="1" supportAdvancedDrill="1" xr:uid="{58291F10-0651-495E-B9E5-5EF76B963CC3}">
  <cacheSource type="external" connectionId="8"/>
  <cacheFields count="4">
    <cacheField name="[Calendar].[Month ENG].[Month ENG]" caption="Month ENG" numFmtId="0" hierarchy="24" level="1">
      <sharedItems count="12">
        <s v="Jan"/>
        <s v="Feb"/>
        <s v="Mar"/>
        <s v="Apr"/>
        <s v="May"/>
        <s v="Jun"/>
        <s v="Jul"/>
        <s v="Aug"/>
        <s v="Sep"/>
        <s v="Oct"/>
        <s v="Nov"/>
        <s v="Dec"/>
      </sharedItems>
    </cacheField>
    <cacheField name="[Measures].[Variance]" caption="Variance" numFmtId="0" hierarchy="39" level="32767"/>
    <cacheField name="[Measures].[Variance in %]" caption="Variance in %" numFmtId="0" hierarchy="40" level="32767"/>
    <cacheField name="[CategoryMapping].[DEPARTMENT].[DEPARTMENT]" caption="DEPARTMENT" numFmtId="0" hierarchy="29" level="1">
      <sharedItems containsSemiMixedTypes="0" containsNonDate="0" containsString="0"/>
    </cacheField>
  </cacheFields>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0" memberValueDatatype="7" unbalanced="0"/>
    <cacheHierarchy uniqueName="[Actuals_Data].[date (Month)]" caption="date (Month)" attribute="1" defaultMemberUniqueName="[Actuals_Data].[date (Month)].[All]" allUniqueName="[Actuals_Data].[date (Month)].[All]" dimensionUniqueName="[Actuals_Data]" displayFolder="" count="0" memberValueDatatype="130" unbalanced="0"/>
    <cacheHierarchy uniqueName="[Actuals_Data].[department]" caption="department" attribute="1" defaultMemberUniqueName="[Actuals_Data].[department].[All]" allUniqueName="[Actuals_Data].[department].[All]" dimensionUniqueName="[Actuals_Data]" displayFolder="" count="0" memberValueDatatype="130" unbalanced="0"/>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cacheHierarchy uniqueName="[Calendar].[Month ENG]" caption="Month ENG" attribute="1" time="1" defaultMemberUniqueName="[Calendar].[Month ENG].[All]" allUniqueName="[Calendar].[Month ENG].[All]" dimensionUniqueName="[Calendar]" displayFolder="" count="2" memberValueDatatype="13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0" memberValueDatatype="130" unbalanced="0"/>
    <cacheHierarchy uniqueName="[CategoryMapping].[DEPARTMENT]" caption="DEPARTMENT" attribute="1" defaultMemberUniqueName="[CategoryMapping].[DEPARTMENT].[All]" allUniqueName="[CategoryMapping].[DEPARTMENT].[All]" dimensionUniqueName="[CategoryMapping]" displayFolder="" count="2" memberValueDatatype="130" unbalanced="0">
      <fieldsUsage count="2">
        <fieldUsage x="-1"/>
        <fieldUsage x="3"/>
      </fieldsUsage>
    </cacheHierarchy>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cacheHierarchy uniqueName="[Measures].[Total Budget Cost]" caption="Total Budget Cost" measure="1" displayFolder="" measureGroup="Budget_Data" count="0"/>
    <cacheHierarchy uniqueName="[Measures].[Accumulated Total Data]" caption="Accumulated Total Data" measure="1" displayFolder="" measureGroup="Actuals_Data" count="0"/>
    <cacheHierarchy uniqueName="[Measures].[Accumulated Budget Data]" caption="Accumulated Budget Data" measure="1" displayFolder="" measureGroup="Budget_Data" count="0"/>
    <cacheHierarchy uniqueName="[Measures].[Variance]" caption="Variance" measure="1" displayFolder="" measureGroup="Budget_Data" count="0" oneField="1">
      <fieldsUsage count="1">
        <fieldUsage x="1"/>
      </fieldsUsage>
    </cacheHierarchy>
    <cacheHierarchy uniqueName="[Measures].[Variance in %]" caption="Variance in %" measure="1" displayFolder="" measureGroup="Budget_Data" count="0" oneField="1">
      <fieldsUsage count="1">
        <fieldUsage x="2"/>
      </fieldsUsage>
    </cacheHierarchy>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dimensions count="7">
    <dimension name="Actuals_Data" uniqueName="[Actuals_Data]" caption="Actuals_Data"/>
    <dimension name="Budget_Data" uniqueName="[Budget_Data]" caption="Budget_Data"/>
    <dimension name="Calendar" uniqueName="[Calendar]" caption="Calendar"/>
    <dimension name="Category_Budget" uniqueName="[Category_Budget]" caption="Category_Budget"/>
    <dimension name="CategoryMapping" uniqueName="[CategoryMapping]" caption="CategoryMapping"/>
    <dimension name="CostCenters" uniqueName="[CostCenters]" caption="CostCenters"/>
    <dimension measure="1" name="Measures" uniqueName="[Measures]" caption="Measures"/>
  </dimensions>
  <measureGroups count="7">
    <measureGroup name="Actuals_Data" caption="Actuals_Data"/>
    <measureGroup name="Budget_Data" caption="Budget_Data"/>
    <measureGroup name="Calendar" caption="Calendar"/>
    <measureGroup name="Category_Actuals" caption="Category_Actuals"/>
    <measureGroup name="Category_Budget" caption="Category_Budget"/>
    <measureGroup name="CategoryMapping" caption="CategoryMapping"/>
    <measureGroup name="CostCenters" caption="CostCenters"/>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4" dimension="3"/>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6021.569929398145" backgroundQuery="1" createdVersion="8" refreshedVersion="8" minRefreshableVersion="3" recordCount="0" supportSubquery="1" supportAdvancedDrill="1" xr:uid="{80A88A2C-CFA4-4B12-BD77-C9E675D25E44}">
  <cacheSource type="external" connectionId="8"/>
  <cacheFields count="4">
    <cacheField name="[Measures].[Variance]" caption="Variance" numFmtId="0" hierarchy="39" level="32767"/>
    <cacheField name="[Measures].[Variance in %]" caption="Variance in %" numFmtId="0" hierarchy="40" level="32767"/>
    <cacheField name="[Actuals_Data].[department].[department]" caption="department" numFmtId="0" hierarchy="6" level="1">
      <sharedItems count="4">
        <s v="Human Resources"/>
        <s v="IT"/>
        <s v="Marketing"/>
        <s v="Operations"/>
      </sharedItems>
    </cacheField>
    <cacheField name="[CategoryMapping].[DEPARTMENT].[DEPARTMENT]" caption="DEPARTMENT" numFmtId="0" hierarchy="29" level="1">
      <sharedItems containsSemiMixedTypes="0" containsNonDate="0" containsString="0"/>
    </cacheField>
  </cacheFields>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0" memberValueDatatype="7" unbalanced="0"/>
    <cacheHierarchy uniqueName="[Actuals_Data].[date (Month)]" caption="date (Month)" attribute="1" defaultMemberUniqueName="[Actuals_Data].[date (Month)].[All]" allUniqueName="[Actuals_Data].[date (Month)].[All]" dimensionUniqueName="[Actuals_Data]" displayFolder="" count="0" memberValueDatatype="130" unbalanced="0"/>
    <cacheHierarchy uniqueName="[Actuals_Data].[department]" caption="department" attribute="1" defaultMemberUniqueName="[Actuals_Data].[department].[All]" allUniqueName="[Actuals_Data].[department].[All]" dimensionUniqueName="[Actuals_Data]" displayFolder="" count="2" memberValueDatatype="130" unbalanced="0">
      <fieldsUsage count="2">
        <fieldUsage x="-1"/>
        <fieldUsage x="2"/>
      </fieldsUsage>
    </cacheHierarchy>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cacheHierarchy uniqueName="[Calendar].[Month ENG]" caption="Month ENG" attribute="1" time="1" defaultMemberUniqueName="[Calendar].[Month ENG].[All]" allUniqueName="[Calendar].[Month ENG].[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0" memberValueDatatype="130" unbalanced="0"/>
    <cacheHierarchy uniqueName="[CategoryMapping].[DEPARTMENT]" caption="DEPARTMENT" attribute="1" defaultMemberUniqueName="[CategoryMapping].[DEPARTMENT].[All]" allUniqueName="[CategoryMapping].[DEPARTMENT].[All]" dimensionUniqueName="[CategoryMapping]" displayFolder="" count="2" memberValueDatatype="130" unbalanced="0">
      <fieldsUsage count="2">
        <fieldUsage x="-1"/>
        <fieldUsage x="3"/>
      </fieldsUsage>
    </cacheHierarchy>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cacheHierarchy uniqueName="[Measures].[Total Budget Cost]" caption="Total Budget Cost" measure="1" displayFolder="" measureGroup="Budget_Data" count="0"/>
    <cacheHierarchy uniqueName="[Measures].[Accumulated Total Data]" caption="Accumulated Total Data" measure="1" displayFolder="" measureGroup="Actuals_Data" count="0"/>
    <cacheHierarchy uniqueName="[Measures].[Accumulated Budget Data]" caption="Accumulated Budget Data" measure="1" displayFolder="" measureGroup="Budget_Data" count="0"/>
    <cacheHierarchy uniqueName="[Measures].[Variance]" caption="Variance" measure="1" displayFolder="" measureGroup="Budget_Data" count="0" oneField="1">
      <fieldsUsage count="1">
        <fieldUsage x="0"/>
      </fieldsUsage>
    </cacheHierarchy>
    <cacheHierarchy uniqueName="[Measures].[Variance in %]" caption="Variance in %" measure="1" displayFolder="" measureGroup="Budget_Data" count="0" oneField="1">
      <fieldsUsage count="1">
        <fieldUsage x="1"/>
      </fieldsUsage>
    </cacheHierarchy>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dimensions count="7">
    <dimension name="Actuals_Data" uniqueName="[Actuals_Data]" caption="Actuals_Data"/>
    <dimension name="Budget_Data" uniqueName="[Budget_Data]" caption="Budget_Data"/>
    <dimension name="Calendar" uniqueName="[Calendar]" caption="Calendar"/>
    <dimension name="Category_Budget" uniqueName="[Category_Budget]" caption="Category_Budget"/>
    <dimension name="CategoryMapping" uniqueName="[CategoryMapping]" caption="CategoryMapping"/>
    <dimension name="CostCenters" uniqueName="[CostCenters]" caption="CostCenters"/>
    <dimension measure="1" name="Measures" uniqueName="[Measures]" caption="Measures"/>
  </dimensions>
  <measureGroups count="7">
    <measureGroup name="Actuals_Data" caption="Actuals_Data"/>
    <measureGroup name="Budget_Data" caption="Budget_Data"/>
    <measureGroup name="Calendar" caption="Calendar"/>
    <measureGroup name="Category_Actuals" caption="Category_Actuals"/>
    <measureGroup name="Category_Budget" caption="Category_Budget"/>
    <measureGroup name="CategoryMapping" caption="CategoryMapping"/>
    <measureGroup name="CostCenters" caption="CostCenters"/>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4" dimension="3"/>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6021.569929976853" backgroundQuery="1" createdVersion="8" refreshedVersion="8" minRefreshableVersion="3" recordCount="0" supportSubquery="1" supportAdvancedDrill="1" xr:uid="{2594A1CA-AD4B-40D3-973C-633C4D03F6DC}">
  <cacheSource type="external" connectionId="8"/>
  <cacheFields count="3">
    <cacheField name="[CostCenters].[REGION].[REGION]" caption="REGION" numFmtId="0" hierarchy="32" level="1">
      <sharedItems count="4">
        <s v="Calgary"/>
        <s v="Montreal"/>
        <s v="Toronto"/>
        <s v="Vancouver"/>
      </sharedItems>
    </cacheField>
    <cacheField name="[Measures].[Variance]" caption="Variance" numFmtId="0" hierarchy="39" level="32767"/>
    <cacheField name="[CategoryMapping].[DEPARTMENT].[DEPARTMENT]" caption="DEPARTMENT" numFmtId="0" hierarchy="29" level="1">
      <sharedItems containsSemiMixedTypes="0" containsNonDate="0" containsString="0"/>
    </cacheField>
  </cacheFields>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0" memberValueDatatype="7" unbalanced="0"/>
    <cacheHierarchy uniqueName="[Actuals_Data].[date (Month)]" caption="date (Month)" attribute="1" defaultMemberUniqueName="[Actuals_Data].[date (Month)].[All]" allUniqueName="[Actuals_Data].[date (Month)].[All]" dimensionUniqueName="[Actuals_Data]" displayFolder="" count="0" memberValueDatatype="130" unbalanced="0"/>
    <cacheHierarchy uniqueName="[Actuals_Data].[department]" caption="department" attribute="1" defaultMemberUniqueName="[Actuals_Data].[department].[All]" allUniqueName="[Actuals_Data].[department].[All]" dimensionUniqueName="[Actuals_Data]" displayFolder="" count="0" memberValueDatatype="130" unbalanced="0"/>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cacheHierarchy uniqueName="[Calendar].[Month ENG]" caption="Month ENG" attribute="1" time="1" defaultMemberUniqueName="[Calendar].[Month ENG].[All]" allUniqueName="[Calendar].[Month ENG].[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0" memberValueDatatype="130" unbalanced="0"/>
    <cacheHierarchy uniqueName="[CategoryMapping].[DEPARTMENT]" caption="DEPARTMENT" attribute="1" defaultMemberUniqueName="[CategoryMapping].[DEPARTMENT].[All]" allUniqueName="[CategoryMapping].[DEPARTMENT].[All]" dimensionUniqueName="[CategoryMapping]" displayFolder="" count="2" memberValueDatatype="130" unbalanced="0">
      <fieldsUsage count="2">
        <fieldUsage x="-1"/>
        <fieldUsage x="2"/>
      </fieldsUsage>
    </cacheHierarchy>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fieldsUsage count="2">
        <fieldUsage x="-1"/>
        <fieldUsage x="0"/>
      </fieldsUsage>
    </cacheHierarchy>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cacheHierarchy uniqueName="[Measures].[Total Budget Cost]" caption="Total Budget Cost" measure="1" displayFolder="" measureGroup="Budget_Data" count="0"/>
    <cacheHierarchy uniqueName="[Measures].[Accumulated Total Data]" caption="Accumulated Total Data" measure="1" displayFolder="" measureGroup="Actuals_Data" count="0"/>
    <cacheHierarchy uniqueName="[Measures].[Accumulated Budget Data]" caption="Accumulated Budget Data" measure="1" displayFolder="" measureGroup="Budget_Data" count="0"/>
    <cacheHierarchy uniqueName="[Measures].[Variance]" caption="Variance" measure="1" displayFolder="" measureGroup="Budget_Data" count="0" oneField="1">
      <fieldsUsage count="1">
        <fieldUsage x="1"/>
      </fieldsUsage>
    </cacheHierarchy>
    <cacheHierarchy uniqueName="[Measures].[Variance in %]" caption="Variance in %" measure="1" displayFolder="" measureGroup="Budget_Data" count="0"/>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dimensions count="7">
    <dimension name="Actuals_Data" uniqueName="[Actuals_Data]" caption="Actuals_Data"/>
    <dimension name="Budget_Data" uniqueName="[Budget_Data]" caption="Budget_Data"/>
    <dimension name="Calendar" uniqueName="[Calendar]" caption="Calendar"/>
    <dimension name="Category_Budget" uniqueName="[Category_Budget]" caption="Category_Budget"/>
    <dimension name="CategoryMapping" uniqueName="[CategoryMapping]" caption="CategoryMapping"/>
    <dimension name="CostCenters" uniqueName="[CostCenters]" caption="CostCenters"/>
    <dimension measure="1" name="Measures" uniqueName="[Measures]" caption="Measures"/>
  </dimensions>
  <measureGroups count="7">
    <measureGroup name="Actuals_Data" caption="Actuals_Data"/>
    <measureGroup name="Budget_Data" caption="Budget_Data"/>
    <measureGroup name="Calendar" caption="Calendar"/>
    <measureGroup name="Category_Actuals" caption="Category_Actuals"/>
    <measureGroup name="Category_Budget" caption="Category_Budget"/>
    <measureGroup name="CategoryMapping" caption="CategoryMapping"/>
    <measureGroup name="CostCenters" caption="CostCenters"/>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4" dimension="3"/>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6021.569930555554" backgroundQuery="1" createdVersion="8" refreshedVersion="8" minRefreshableVersion="3" recordCount="0" supportSubquery="1" supportAdvancedDrill="1" xr:uid="{46A8E860-D3A5-4A44-A390-677739B5B9EF}">
  <cacheSource type="external" connectionId="8"/>
  <cacheFields count="4">
    <cacheField name="[Measures].[Total Data]" caption="Total Data" numFmtId="0" hierarchy="35" level="32767"/>
    <cacheField name="[Actuals_Data].[date].[date]" caption="date" numFmtId="0" hierarchy="4" level="1">
      <sharedItems containsSemiMixedTypes="0" containsNonDate="0" containsDate="1" containsString="0" minDate="2025-01-02T00:00:00" maxDate="2025-12-27T00:00:00" count="200">
        <d v="2025-01-02T00:00:00"/>
        <d v="2025-01-04T00:00:00"/>
        <d v="2025-01-07T00:00:00"/>
        <d v="2025-01-09T00:00:00"/>
        <d v="2025-01-10T00:00:00"/>
        <d v="2025-01-11T00:00:00"/>
        <d v="2025-01-13T00:00:00"/>
        <d v="2025-01-14T00:00:00"/>
        <d v="2025-01-15T00:00:00"/>
        <d v="2025-01-17T00:00:00"/>
        <d v="2025-01-19T00:00:00"/>
        <d v="2025-01-20T00:00:00"/>
        <d v="2025-01-22T00:00:00"/>
        <d v="2025-01-23T00:00:00"/>
        <d v="2025-01-24T00:00:00"/>
        <d v="2025-01-27T00:00:00"/>
        <d v="2025-01-28T00:00:00"/>
        <d v="2025-02-02T00:00:00"/>
        <d v="2025-02-03T00:00:00"/>
        <d v="2025-02-04T00:00:00"/>
        <d v="2025-02-07T00:00:00"/>
        <d v="2025-02-09T00:00:00"/>
        <d v="2025-02-10T00:00:00"/>
        <d v="2025-02-11T00:00:00"/>
        <d v="2025-02-12T00:00:00"/>
        <d v="2025-02-13T00:00:00"/>
        <d v="2025-02-14T00:00:00"/>
        <d v="2025-02-15T00:00:00"/>
        <d v="2025-02-17T00:00:00"/>
        <d v="2025-02-20T00:00:00"/>
        <d v="2025-02-24T00:00:00"/>
        <d v="2025-02-25T00:00:00"/>
        <d v="2025-02-26T00:00:00"/>
        <d v="2025-02-27T00:00:00"/>
        <d v="2025-02-28T00:00:00"/>
        <d v="2025-03-02T00:00:00"/>
        <d v="2025-03-03T00:00:00"/>
        <d v="2025-03-05T00:00:00"/>
        <d v="2025-03-07T00:00:00"/>
        <d v="2025-03-08T00:00:00"/>
        <d v="2025-03-09T00:00:00"/>
        <d v="2025-03-10T00:00:00"/>
        <d v="2025-03-12T00:00:00"/>
        <d v="2025-03-14T00:00:00"/>
        <d v="2025-03-15T00:00:00"/>
        <d v="2025-03-16T00:00:00"/>
        <d v="2025-03-17T00:00:00"/>
        <d v="2025-03-18T00:00:00"/>
        <d v="2025-03-19T00:00:00"/>
        <d v="2025-03-20T00:00:00"/>
        <d v="2025-03-21T00:00:00"/>
        <d v="2025-03-22T00:00:00"/>
        <d v="2025-03-24T00:00:00"/>
        <d v="2025-03-25T00:00:00"/>
        <d v="2025-03-26T00:00:00"/>
        <d v="2025-04-04T00:00:00"/>
        <d v="2025-04-07T00:00:00"/>
        <d v="2025-04-09T00:00:00"/>
        <d v="2025-04-11T00:00:00"/>
        <d v="2025-04-13T00:00:00"/>
        <d v="2025-04-14T00:00:00"/>
        <d v="2025-04-16T00:00:00"/>
        <d v="2025-04-17T00:00:00"/>
        <d v="2025-04-18T00:00:00"/>
        <d v="2025-04-19T00:00:00"/>
        <d v="2025-04-22T00:00:00"/>
        <d v="2025-04-23T00:00:00"/>
        <d v="2025-04-24T00:00:00"/>
        <d v="2025-04-25T00:00:00"/>
        <d v="2025-04-26T00:00:00"/>
        <d v="2025-04-28T00:00:00"/>
        <d v="2025-05-02T00:00:00"/>
        <d v="2025-05-04T00:00:00"/>
        <d v="2025-05-05T00:00:00"/>
        <d v="2025-05-07T00:00:00"/>
        <d v="2025-05-08T00:00:00"/>
        <d v="2025-05-09T00:00:00"/>
        <d v="2025-05-12T00:00:00"/>
        <d v="2025-05-15T00:00:00"/>
        <d v="2025-05-17T00:00:00"/>
        <d v="2025-05-18T00:00:00"/>
        <d v="2025-05-19T00:00:00"/>
        <d v="2025-05-20T00:00:00"/>
        <d v="2025-05-22T00:00:00"/>
        <d v="2025-05-23T00:00:00"/>
        <d v="2025-05-24T00:00:00"/>
        <d v="2025-05-28T00:00:00"/>
        <d v="2025-06-04T00:00:00"/>
        <d v="2025-06-06T00:00:00"/>
        <d v="2025-06-07T00:00:00"/>
        <d v="2025-06-09T00:00:00"/>
        <d v="2025-06-10T00:00:00"/>
        <d v="2025-06-11T00:00:00"/>
        <d v="2025-06-13T00:00:00"/>
        <d v="2025-06-14T00:00:00"/>
        <d v="2025-06-15T00:00:00"/>
        <d v="2025-06-17T00:00:00"/>
        <d v="2025-06-18T00:00:00"/>
        <d v="2025-06-19T00:00:00"/>
        <d v="2025-06-22T00:00:00"/>
        <d v="2025-06-25T00:00:00"/>
        <d v="2025-06-26T00:00:00"/>
        <d v="2025-06-27T00:00:00"/>
        <d v="2025-06-28T00:00:00"/>
        <d v="2025-07-04T00:00:00"/>
        <d v="2025-07-05T00:00:00"/>
        <d v="2025-07-08T00:00:00"/>
        <d v="2025-07-09T00:00:00"/>
        <d v="2025-07-11T00:00:00"/>
        <d v="2025-07-13T00:00:00"/>
        <d v="2025-07-14T00:00:00"/>
        <d v="2025-07-16T00:00:00"/>
        <d v="2025-07-17T00:00:00"/>
        <d v="2025-07-18T00:00:00"/>
        <d v="2025-07-19T00:00:00"/>
        <d v="2025-07-20T00:00:00"/>
        <d v="2025-07-21T00:00:00"/>
        <d v="2025-07-22T00:00:00"/>
        <d v="2025-07-25T00:00:00"/>
        <d v="2025-08-02T00:00:00"/>
        <d v="2025-08-03T00:00:00"/>
        <d v="2025-08-07T00:00:00"/>
        <d v="2025-08-08T00:00:00"/>
        <d v="2025-08-13T00:00:00"/>
        <d v="2025-08-14T00:00:00"/>
        <d v="2025-08-15T00:00:00"/>
        <d v="2025-08-17T00:00:00"/>
        <d v="2025-08-18T00:00:00"/>
        <d v="2025-08-19T00:00:00"/>
        <d v="2025-08-22T00:00:00"/>
        <d v="2025-08-23T00:00:00"/>
        <d v="2025-08-25T00:00:00"/>
        <d v="2025-08-26T00:00:00"/>
        <d v="2025-08-27T00:00:00"/>
        <d v="2025-08-28T00:00:00"/>
        <d v="2025-09-02T00:00:00"/>
        <d v="2025-09-03T00:00:00"/>
        <d v="2025-09-05T00:00:00"/>
        <d v="2025-09-06T00:00:00"/>
        <d v="2025-09-07T00:00:00"/>
        <d v="2025-09-08T00:00:00"/>
        <d v="2025-09-11T00:00:00"/>
        <d v="2025-09-13T00:00:00"/>
        <d v="2025-09-14T00:00:00"/>
        <d v="2025-09-16T00:00:00"/>
        <d v="2025-09-17T00:00:00"/>
        <d v="2025-09-19T00:00:00"/>
        <d v="2025-09-20T00:00:00"/>
        <d v="2025-09-24T00:00:00"/>
        <d v="2025-09-25T00:00:00"/>
        <d v="2025-09-27T00:00:00"/>
        <d v="2025-09-28T00:00:00"/>
        <d v="2025-10-02T00:00:00"/>
        <d v="2025-10-04T00:00:00"/>
        <d v="2025-10-06T00:00:00"/>
        <d v="2025-10-07T00:00:00"/>
        <d v="2025-10-08T00:00:00"/>
        <d v="2025-10-10T00:00:00"/>
        <d v="2025-10-12T00:00:00"/>
        <d v="2025-10-13T00:00:00"/>
        <d v="2025-10-16T00:00:00"/>
        <d v="2025-10-17T00:00:00"/>
        <d v="2025-10-19T00:00:00"/>
        <d v="2025-10-20T00:00:00"/>
        <d v="2025-10-22T00:00:00"/>
        <d v="2025-10-26T00:00:00"/>
        <d v="2025-10-27T00:00:00"/>
        <d v="2025-10-28T00:00:00"/>
        <d v="2025-11-02T00:00:00"/>
        <d v="2025-11-05T00:00:00"/>
        <d v="2025-11-07T00:00:00"/>
        <d v="2025-11-08T00:00:00"/>
        <d v="2025-11-10T00:00:00"/>
        <d v="2025-11-11T00:00:00"/>
        <d v="2025-11-12T00:00:00"/>
        <d v="2025-11-14T00:00:00"/>
        <d v="2025-11-15T00:00:00"/>
        <d v="2025-11-17T00:00:00"/>
        <d v="2025-11-20T00:00:00"/>
        <d v="2025-11-22T00:00:00"/>
        <d v="2025-11-24T00:00:00"/>
        <d v="2025-11-25T00:00:00"/>
        <d v="2025-11-28T00:00:00"/>
        <d v="2025-12-01T00:00:00"/>
        <d v="2025-12-02T00:00:00"/>
        <d v="2025-12-03T00:00:00"/>
        <d v="2025-12-04T00:00:00"/>
        <d v="2025-12-05T00:00:00"/>
        <d v="2025-12-07T00:00:00"/>
        <d v="2025-12-08T00:00:00"/>
        <d v="2025-12-09T00:00:00"/>
        <d v="2025-12-10T00:00:00"/>
        <d v="2025-12-14T00:00:00"/>
        <d v="2025-12-15T00:00:00"/>
        <d v="2025-12-17T00:00:00"/>
        <d v="2025-12-18T00:00:00"/>
        <d v="2025-12-19T00:00:00"/>
        <d v="2025-12-23T00:00:00"/>
        <d v="2025-12-25T00:00:00"/>
        <d v="2025-12-26T00:00:00"/>
      </sharedItems>
    </cacheField>
    <cacheField name="[Actuals_Data].[date (Month)].[date (Month)]" caption="date (Month)" numFmtId="0" hierarchy="5" level="1">
      <sharedItems count="12">
        <s v="ene"/>
        <s v="feb"/>
        <s v="mar"/>
        <s v="abr"/>
        <s v="may"/>
        <s v="jun"/>
        <s v="jul"/>
        <s v="ago"/>
        <s v="sep"/>
        <s v="oct"/>
        <s v="nov"/>
        <s v="dic"/>
      </sharedItems>
    </cacheField>
    <cacheField name="[CategoryMapping].[DEPARTMENT].[DEPARTMENT]" caption="DEPARTMENT" numFmtId="0" hierarchy="29" level="1">
      <sharedItems containsSemiMixedTypes="0" containsNonDate="0" containsString="0"/>
    </cacheField>
  </cacheFields>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2" memberValueDatatype="7" unbalanced="0">
      <fieldsUsage count="2">
        <fieldUsage x="-1"/>
        <fieldUsage x="1"/>
      </fieldsUsage>
    </cacheHierarchy>
    <cacheHierarchy uniqueName="[Actuals_Data].[date (Month)]" caption="date (Month)" attribute="1" defaultMemberUniqueName="[Actuals_Data].[date (Month)].[All]" allUniqueName="[Actuals_Data].[date (Month)].[All]" dimensionUniqueName="[Actuals_Data]" displayFolder="" count="2" memberValueDatatype="130" unbalanced="0">
      <fieldsUsage count="2">
        <fieldUsage x="-1"/>
        <fieldUsage x="2"/>
      </fieldsUsage>
    </cacheHierarchy>
    <cacheHierarchy uniqueName="[Actuals_Data].[department]" caption="department" attribute="1" defaultMemberUniqueName="[Actuals_Data].[department].[All]" allUniqueName="[Actuals_Data].[department].[All]" dimensionUniqueName="[Actuals_Data]" displayFolder="" count="0" memberValueDatatype="130" unbalanced="0"/>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cacheHierarchy uniqueName="[Calendar].[Month ENG]" caption="Month ENG" attribute="1" time="1" defaultMemberUniqueName="[Calendar].[Month ENG].[All]" allUniqueName="[Calendar].[Month ENG].[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0" memberValueDatatype="130" unbalanced="0"/>
    <cacheHierarchy uniqueName="[CategoryMapping].[DEPARTMENT]" caption="DEPARTMENT" attribute="1" defaultMemberUniqueName="[CategoryMapping].[DEPARTMENT].[All]" allUniqueName="[CategoryMapping].[DEPARTMENT].[All]" dimensionUniqueName="[CategoryMapping]" displayFolder="" count="2" memberValueDatatype="130" unbalanced="0">
      <fieldsUsage count="2">
        <fieldUsage x="-1"/>
        <fieldUsage x="3"/>
      </fieldsUsage>
    </cacheHierarchy>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oneField="1">
      <fieldsUsage count="1">
        <fieldUsage x="0"/>
      </fieldsUsage>
    </cacheHierarchy>
    <cacheHierarchy uniqueName="[Measures].[Total Budget Cost]" caption="Total Budget Cost" measure="1" displayFolder="" measureGroup="Budget_Data" count="0"/>
    <cacheHierarchy uniqueName="[Measures].[Accumulated Total Data]" caption="Accumulated Total Data" measure="1" displayFolder="" measureGroup="Actuals_Data" count="0"/>
    <cacheHierarchy uniqueName="[Measures].[Accumulated Budget Data]" caption="Accumulated Budget Data" measure="1" displayFolder="" measureGroup="Budget_Data" count="0"/>
    <cacheHierarchy uniqueName="[Measures].[Variance]" caption="Variance" measure="1" displayFolder="" measureGroup="Budget_Data" count="0"/>
    <cacheHierarchy uniqueName="[Measures].[Variance in %]" caption="Variance in %" measure="1" displayFolder="" measureGroup="Budget_Data" count="0"/>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dimensions count="7">
    <dimension name="Actuals_Data" uniqueName="[Actuals_Data]" caption="Actuals_Data"/>
    <dimension name="Budget_Data" uniqueName="[Budget_Data]" caption="Budget_Data"/>
    <dimension name="Calendar" uniqueName="[Calendar]" caption="Calendar"/>
    <dimension name="Category_Budget" uniqueName="[Category_Budget]" caption="Category_Budget"/>
    <dimension name="CategoryMapping" uniqueName="[CategoryMapping]" caption="CategoryMapping"/>
    <dimension name="CostCenters" uniqueName="[CostCenters]" caption="CostCenters"/>
    <dimension measure="1" name="Measures" uniqueName="[Measures]" caption="Measures"/>
  </dimensions>
  <measureGroups count="7">
    <measureGroup name="Actuals_Data" caption="Actuals_Data"/>
    <measureGroup name="Budget_Data" caption="Budget_Data"/>
    <measureGroup name="Calendar" caption="Calendar"/>
    <measureGroup name="Category_Actuals" caption="Category_Actuals"/>
    <measureGroup name="Category_Budget" caption="Category_Budget"/>
    <measureGroup name="CategoryMapping" caption="CategoryMapping"/>
    <measureGroup name="CostCenters" caption="CostCenters"/>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4" dimension="3"/>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Pablo Briceño" refreshedDate="45866.943714351852" backgroundQuery="1" createdVersion="3" refreshedVersion="8" minRefreshableVersion="3" recordCount="0" supportSubquery="1" supportAdvancedDrill="1" xr:uid="{C984FC4E-9152-41BE-8A00-9A68E14A4A3C}">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Actuals_Data].[amount]" caption="amount" attribute="1" defaultMemberUniqueName="[Actuals_Data].[amount].[All]" allUniqueName="[Actuals_Data].[amount].[All]" dimensionUniqueName="[Actuals_Data]" displayFolder="" count="0" memberValueDatatype="5" unbalanced="0"/>
    <cacheHierarchy uniqueName="[Actuals_Data].[category]" caption="category" attribute="1" defaultMemberUniqueName="[Actuals_Data].[category].[All]" allUniqueName="[Actuals_Data].[category].[All]" dimensionUniqueName="[Actuals_Data]" displayFolder="" count="0" memberValueDatatype="130" unbalanced="0"/>
    <cacheHierarchy uniqueName="[Actuals_Data].[Category l]" caption="Category l" attribute="1" defaultMemberUniqueName="[Actuals_Data].[Category l].[All]" allUniqueName="[Actuals_Data].[Category l].[All]" dimensionUniqueName="[Actuals_Data]" displayFolder="" count="0" memberValueDatatype="130" unbalanced="0"/>
    <cacheHierarchy uniqueName="[Actuals_Data].[cost_center]" caption="cost_center" attribute="1" defaultMemberUniqueName="[Actuals_Data].[cost_center].[All]" allUniqueName="[Actuals_Data].[cost_center].[All]" dimensionUniqueName="[Actuals_Data]" displayFolder="" count="0" memberValueDatatype="20" unbalanced="0"/>
    <cacheHierarchy uniqueName="[Actuals_Data].[date]" caption="date" attribute="1" time="1" defaultMemberUniqueName="[Actuals_Data].[date].[All]" allUniqueName="[Actuals_Data].[date].[All]" dimensionUniqueName="[Actuals_Data]" displayFolder="" count="0" memberValueDatatype="7" unbalanced="0"/>
    <cacheHierarchy uniqueName="[Actuals_Data].[date (Month)]" caption="date (Month)" attribute="1" defaultMemberUniqueName="[Actuals_Data].[date (Month)].[All]" allUniqueName="[Actuals_Data].[date (Month)].[All]" dimensionUniqueName="[Actuals_Data]" displayFolder="" count="0" memberValueDatatype="130" unbalanced="0"/>
    <cacheHierarchy uniqueName="[Actuals_Data].[department]" caption="department" attribute="1" defaultMemberUniqueName="[Actuals_Data].[department].[All]" allUniqueName="[Actuals_Data].[department].[All]" dimensionUniqueName="[Actuals_Data]" displayFolder="" count="0" memberValueDatatype="130" unbalanced="0"/>
    <cacheHierarchy uniqueName="[Actuals_Data].[description]" caption="description" attribute="1" defaultMemberUniqueName="[Actuals_Data].[description].[All]" allUniqueName="[Actuals_Data].[description].[All]" dimensionUniqueName="[Actuals_Data]" displayFolder="" count="0" memberValueDatatype="130" unbalanced="0"/>
    <cacheHierarchy uniqueName="[Actuals_Data].[responsible]" caption="responsible" attribute="1" defaultMemberUniqueName="[Actuals_Data].[responsible].[All]" allUniqueName="[Actuals_Data].[responsible].[All]" dimensionUniqueName="[Actuals_Data]" displayFolder="" count="0" memberValueDatatype="130" unbalanced="0"/>
    <cacheHierarchy uniqueName="[Budget_Data].[BUDGETED AMOUNT]" caption="BUDGETED AMOUNT" attribute="1" defaultMemberUniqueName="[Budget_Data].[BUDGETED AMOUNT].[All]" allUniqueName="[Budget_Data].[BUDGETED AMOUNT].[All]" dimensionUniqueName="[Budget_Data]" displayFolder="" count="0" memberValueDatatype="5" unbalanced="0"/>
    <cacheHierarchy uniqueName="[Budget_Data].[CATEGORY]" caption="CATEGORY" attribute="1" defaultMemberUniqueName="[Budget_Data].[CATEGORY].[All]" allUniqueName="[Budget_Data].[CATEGORY].[All]" dimensionUniqueName="[Budget_Data]" displayFolder="" count="0" memberValueDatatype="130" unbalanced="0"/>
    <cacheHierarchy uniqueName="[Budget_Data].[COST CENTER]" caption="COST CENTER" attribute="1" defaultMemberUniqueName="[Budget_Data].[COST CENTER].[All]" allUniqueName="[Budget_Data].[COST CENTER].[All]" dimensionUniqueName="[Budget_Data]" displayFolder="" count="0" memberValueDatatype="20" unbalanced="0"/>
    <cacheHierarchy uniqueName="[Budget_Data].[DATE]" caption="DATE" attribute="1" time="1" defaultMemberUniqueName="[Budget_Data].[DATE].[All]" allUniqueName="[Budget_Data].[DATE].[All]" dimensionUniqueName="[Budget_Data]" displayFolder="" count="0" memberValueDatatype="7" unbalanced="0"/>
    <cacheHierarchy uniqueName="[Budget_Data].[DEPARTMENT]" caption="DEPARTMENT" attribute="1" defaultMemberUniqueName="[Budget_Data].[DEPARTMENT].[All]" allUniqueName="[Budget_Data].[DEPARTMENT].[All]" dimensionUniqueName="[Budget_Data]" displayFolder="" count="0" memberValueDatatype="130" unbalanced="0"/>
    <cacheHierarchy uniqueName="[Budget_Data].[MONTH]" caption="MONTH" attribute="1" defaultMemberUniqueName="[Budget_Data].[MONTH].[All]" allUniqueName="[Budget_Data].[MONTH].[All]" dimensionUniqueName="[Budget_Data]" displayFolder="" count="0" memberValueDatatype="130" unbalanced="0"/>
    <cacheHierarchy uniqueName="[Budget_Data].[MONTH ES]" caption="MONTH ES" attribute="1" defaultMemberUniqueName="[Budget_Data].[MONTH ES].[All]" allUniqueName="[Budget_Data].[MONTH ES].[All]" dimensionUniqueName="[Budget_Data]" displayFolder="" count="0" memberValueDatatype="130" unbalanced="0"/>
    <cacheHierarchy uniqueName="[Budget_Data].[YEAR]" caption="YEAR" attribute="1" defaultMemberUniqueName="[Budget_Data].[YEAR].[All]" allUniqueName="[Budget_Data].[YEAR].[All]" dimensionUniqueName="[Budget_Data]"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es]" caption="Mes" attribute="1" time="1" defaultMemberUniqueName="[Calendar].[Mes].[All]" allUniqueName="[Calendar].[Mes].[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cacheHierarchy uniqueName="[Calendar].[Month ENG]" caption="Month ENG" attribute="1" time="1" defaultMemberUniqueName="[Calendar].[Month ENG].[All]" allUniqueName="[Calendar].[Month ENG].[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Year]" caption="Year" attribute="1" time="1" defaultMemberUniqueName="[Calendar].[Year].[All]" allUniqueName="[Calendar].[Year].[All]" dimensionUniqueName="[Calendar]" displayFolder="" count="0" memberValueDatatype="20" unbalanced="0"/>
    <cacheHierarchy uniqueName="[Category_Budget].[CATEGORY]" caption="CATEGORY" attribute="1" defaultMemberUniqueName="[Category_Budget].[CATEGORY].[All]" allUniqueName="[Category_Budget].[CATEGORY].[All]" dimensionUniqueName="[Category_Budget]" displayFolder="" count="0" memberValueDatatype="130" unbalanced="0"/>
    <cacheHierarchy uniqueName="[CategoryMapping].[CATEGORY]" caption="CATEGORY" attribute="1" defaultMemberUniqueName="[CategoryMapping].[CATEGORY].[All]" allUniqueName="[CategoryMapping].[CATEGORY].[All]" dimensionUniqueName="[CategoryMapping]" displayFolder="" count="0" memberValueDatatype="130" unbalanced="0"/>
    <cacheHierarchy uniqueName="[CategoryMapping].[DEPARTMENT]" caption="DEPARTMENT" attribute="1" defaultMemberUniqueName="[CategoryMapping].[DEPARTMENT].[All]" allUniqueName="[CategoryMapping].[DEPARTMENT].[All]" dimensionUniqueName="[CategoryMapping]" displayFolder="" count="2" memberValueDatatype="130" unbalanced="0"/>
    <cacheHierarchy uniqueName="[CostCenters].[BUSINESS UNIT]" caption="BUSINESS UNIT" attribute="1" defaultMemberUniqueName="[CostCenters].[BUSINESS UNIT].[All]" allUniqueName="[CostCenters].[BUSINESS UNIT].[All]" dimensionUniqueName="[CostCenters]" displayFolder="" count="0" memberValueDatatype="130" unbalanced="0"/>
    <cacheHierarchy uniqueName="[CostCenters].[COST CENTER]" caption="COST CENTER" attribute="1" defaultMemberUniqueName="[CostCenters].[COST CENTER].[All]" allUniqueName="[CostCenters].[COST CENTER].[All]" dimensionUniqueName="[CostCenters]" displayFolder="" count="0" memberValueDatatype="20" unbalanced="0"/>
    <cacheHierarchy uniqueName="[CostCenters].[REGION]" caption="REGION" attribute="1" defaultMemberUniqueName="[CostCenters].[REGION].[All]" allUniqueName="[CostCenters].[REGION].[All]" dimensionUniqueName="[CostCenters]" displayFolder="" count="2" memberValueDatatype="130" unbalanced="0"/>
    <cacheHierarchy uniqueName="[Actuals_Data].[date (Month Index)]" caption="date (Month Index)" attribute="1" defaultMemberUniqueName="[Actuals_Data].[date (Month Index)].[All]" allUniqueName="[Actuals_Data].[date (Month Index)].[All]" dimensionUniqueName="[Actuals_Data]" displayFolder="" count="0" memberValueDatatype="20" unbalanced="0" hidden="1"/>
    <cacheHierarchy uniqueName="[Category_Actuals].[category]" caption="category" attribute="1" defaultMemberUniqueName="[Category_Actuals].[category].[All]" allUniqueName="[Category_Actuals].[category].[All]" dimensionUniqueName="[Category_Actuals]" displayFolder="" count="0" memberValueDatatype="130" unbalanced="0" hidden="1"/>
    <cacheHierarchy uniqueName="[Measures].[Total Data]" caption="Total Data" measure="1" displayFolder="" measureGroup="Actuals_Data" count="0"/>
    <cacheHierarchy uniqueName="[Measures].[Total Budget Cost]" caption="Total Budget Cost" measure="1" displayFolder="" measureGroup="Budget_Data" count="0"/>
    <cacheHierarchy uniqueName="[Measures].[Accumulated Total Data]" caption="Accumulated Total Data" measure="1" displayFolder="" measureGroup="Actuals_Data" count="0"/>
    <cacheHierarchy uniqueName="[Measures].[Accumulated Budget Data]" caption="Accumulated Budget Data" measure="1" displayFolder="" measureGroup="Budget_Data" count="0"/>
    <cacheHierarchy uniqueName="[Measures].[Variance]" caption="Variance" measure="1" displayFolder="" measureGroup="Budget_Data" count="0"/>
    <cacheHierarchy uniqueName="[Measures].[Variance in %]" caption="Variance in %" measure="1" displayFolder="" measureGroup="Budget_Data" count="0"/>
    <cacheHierarchy uniqueName="[Measures].[__XL_Count Actuals_Data]" caption="__XL_Count Actuals_Data" measure="1" displayFolder="" measureGroup="Actuals_Data" count="0" hidden="1"/>
    <cacheHierarchy uniqueName="[Measures].[__XL_Count Budget_Data]" caption="__XL_Count Budget_Data" measure="1" displayFolder="" measureGroup="Budget_Data" count="0" hidden="1"/>
    <cacheHierarchy uniqueName="[Measures].[__XL_Count CategoryMapping]" caption="__XL_Count CategoryMapping" measure="1" displayFolder="" measureGroup="CategoryMapping" count="0" hidden="1"/>
    <cacheHierarchy uniqueName="[Measures].[__XL_Count CostCenters]" caption="__XL_Count CostCenters" measure="1" displayFolder="" measureGroup="CostCenters" count="0" hidden="1"/>
    <cacheHierarchy uniqueName="[Measures].[__XL_Count Calendar]" caption="__XL_Count Calendar" measure="1" displayFolder="" measureGroup="Calendar" count="0" hidden="1"/>
    <cacheHierarchy uniqueName="[Measures].[__XL_Count Category_Actuals]" caption="__XL_Count Category_Actuals" measure="1" displayFolder="" measureGroup="Category_Actuals" count="0" hidden="1"/>
    <cacheHierarchy uniqueName="[Measures].[__XL_Count Category_Budget]" caption="__XL_Count Category_Budget" measure="1" displayFolder="" measureGroup="Category_Budget" count="0" hidden="1"/>
    <cacheHierarchy uniqueName="[Measures].[__No measures defined]" caption="__No measures defined" measure="1" displayFolder="" count="0" hidden="1"/>
    <cacheHierarchy uniqueName="[Measures].[Sum of COST CENTER]" caption="Sum of COST CENTER" measure="1" displayFolder="" measureGroup="CostCenters" count="0" hidden="1">
      <extLst>
        <ext xmlns:x15="http://schemas.microsoft.com/office/spreadsheetml/2010/11/main" uri="{B97F6D7D-B522-45F9-BDA1-12C45D357490}">
          <x15:cacheHierarchy aggregatedColumn="31"/>
        </ext>
      </extLst>
    </cacheHierarchy>
    <cacheHierarchy uniqueName="[Measures].[Sum of cost_center]" caption="Sum of cost_center" measure="1" displayFolder="" measureGroup="Actuals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8923936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B1341A-9009-45D6-9A09-13E2B0842FE0}" name="PivotTable1" cacheId="226" applyNumberFormats="0" applyBorderFormats="0" applyFontFormats="0" applyPatternFormats="0" applyAlignmentFormats="0" applyWidthHeightFormats="1" dataCaption="Values" tag="bceadc9a-43ff-47d1-ac13-5274d1cdd438" updatedVersion="8" minRefreshableVersion="3" useAutoFormatting="1" itemPrintTitles="1" createdVersion="8" indent="0" outline="1" outlineData="1" multipleFieldFilters="0">
  <location ref="B20:E21"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numFmtId="10"/>
  </dataFields>
  <pivotHierarchies count="5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tuals_Data]"/>
        <x15:activeTabTopLevelEntity name="[Budget_Data]"/>
        <x15:activeTabTopLevelEntity name="[Calendar]"/>
        <x15:activeTabTopLevelEntity name="[CostCe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E28BCF-8F70-49AD-922A-6260AAC3F6DB}" name="PivotTable4" cacheId="241" applyNumberFormats="0" applyBorderFormats="0" applyFontFormats="0" applyPatternFormats="0" applyAlignmentFormats="0" applyWidthHeightFormats="1" dataCaption="Values" tag="6a34e1c1-8ad8-4f65-aa1e-0fb0fa24478a" updatedVersion="8" minRefreshableVersion="3" showDrill="0" useAutoFormatting="1" subtotalHiddenItems="1" rowGrandTotals="0" colGrandTotals="0" itemPrintTitles="1" createdVersion="8" indent="0" showHeaders="0" outline="1" outlineData="1" multipleFieldFilters="0" chartFormat="4">
  <location ref="AI3:AU5" firstHeaderRow="0" firstDataRow="2" firstDataCol="1"/>
  <pivotFields count="4">
    <pivotField dataField="1" subtotalTop="0" showAll="0" defaultSubtotal="0"/>
    <pivotField axis="axisCol" allDrilled="1" subtotalTop="0" showAll="0" dataSourceSort="1" defaultSubtotal="0" defaultAttributeDrillState="1">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Items count="1">
    <i/>
  </rowItems>
  <colFields count="2">
    <field x="2"/>
    <field x="1"/>
  </colFields>
  <colItems count="12">
    <i>
      <x/>
    </i>
    <i>
      <x v="1"/>
    </i>
    <i>
      <x v="2"/>
    </i>
    <i>
      <x v="3"/>
    </i>
    <i>
      <x v="4"/>
    </i>
    <i>
      <x v="5"/>
    </i>
    <i>
      <x v="6"/>
    </i>
    <i>
      <x v="7"/>
    </i>
    <i>
      <x v="8"/>
    </i>
    <i>
      <x v="9"/>
    </i>
    <i>
      <x v="10"/>
    </i>
    <i>
      <x v="11"/>
    </i>
  </colItems>
  <dataFields count="1">
    <dataField fld="0" subtotal="count" baseField="0" baseItem="0"/>
  </dataFields>
  <pivotHierarchies count="5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2">
    <colHierarchyUsage hierarchyUsage="5"/>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s_Data]"/>
        <x15:activeTabTopLevelEntity name="[Budget_Data]"/>
        <x15:activeTabTopLevelEntity name="[Calendar]"/>
        <x15:activeTabTopLevelEntity name="[CostCenters]"/>
        <x15:activeTabTopLevelEntity name="[CategoryMa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1BC658-5AE4-48E8-9491-8224B3B48564}" name="CountryVar" cacheId="238" applyNumberFormats="0" applyBorderFormats="0" applyFontFormats="0" applyPatternFormats="0" applyAlignmentFormats="0" applyWidthHeightFormats="1" dataCaption="Values" tag="2239ff53-120b-4ef9-8be4-796901d98e2d" updatedVersion="8" minRefreshableVersion="3" useAutoFormatting="1" subtotalHiddenItems="1" itemPrintTitles="1" createdVersion="8" indent="0" outline="1" outlineData="1" multipleFieldFilters="0" chartFormat="7">
  <location ref="AE3:AF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2"/>
    </i>
    <i>
      <x v="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s_Data]"/>
        <x15:activeTabTopLevelEntity name="[Budget_Data]"/>
        <x15:activeTabTopLevelEntity name="[Calendar]"/>
        <x15:activeTabTopLevelEntity name="[CostCenters]"/>
        <x15:activeTabTopLevelEntity name="[CategoryMa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869E22-ECE1-47FF-B933-AFF5D8403BA1}" name="AccumTotals" cacheId="220" applyNumberFormats="0" applyBorderFormats="0" applyFontFormats="0" applyPatternFormats="0" applyAlignmentFormats="0" applyWidthHeightFormats="1" dataCaption="Values" tag="d39bea5b-1535-45d8-b25b-da63161cf020" updatedVersion="8" minRefreshableVersion="3" useAutoFormatting="1" itemPrintTitles="1" createdVersion="8" indent="0" outline="1" outlineData="1" multipleFieldFilters="0" chartFormat="46">
  <location ref="F3:H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Accumulated Total Actual Data" fld="1" subtotal="count" baseField="0" baseItem="0"/>
  </dataField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caption="Accumulated Total Actual Dat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s_Data]"/>
        <x15:activeTabTopLevelEntity name="[Budget_Data]"/>
        <x15:activeTabTopLevelEntity name="[Calendar]"/>
        <x15:activeTabTopLevelEntity name="[CostCenters]"/>
        <x15:activeTabTopLevelEntity name="[CategoryMa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426452-4919-4CA2-A83D-8FD215554510}" name="PivotTable2" cacheId="235" applyNumberFormats="0" applyBorderFormats="0" applyFontFormats="0" applyPatternFormats="0" applyAlignmentFormats="0" applyWidthHeightFormats="1" dataCaption="Values" tag="8d525136-f9ce-4bc3-b725-7882afb3d319" updatedVersion="8" minRefreshableVersion="3" useAutoFormatting="1" itemPrintTitles="1" createdVersion="8" indent="0" outline="1" outlineData="1" multipleFieldFilters="0" chartFormat="30">
  <location ref="Z3:AB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fld="0" subtotal="count" baseField="0" baseItem="0"/>
    <dataField fld="1"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s_Data]"/>
        <x15:activeTabTopLevelEntity name="[Budget_Data]"/>
        <x15:activeTabTopLevelEntity name="[Calendar]"/>
        <x15:activeTabTopLevelEntity name="[CostCenters]"/>
        <x15:activeTabTopLevelEntity name="[CategoryMa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66C7C4-D4CF-4EE7-8E04-A2444A7780F0}" name="NormalTotals" cacheId="223" applyNumberFormats="0" applyBorderFormats="0" applyFontFormats="0" applyPatternFormats="0" applyAlignmentFormats="0" applyWidthHeightFormats="1" dataCaption="Values" tag="a8317480-9d30-4f22-ae76-508904326cd8" updatedVersion="8" minRefreshableVersion="3" useAutoFormatting="1" itemPrintTitles="1" createdVersion="8" indent="0" outline="1" outlineData="1" multipleFieldFilters="0">
  <location ref="B3:D1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Actual cost" fld="0" subtotal="count" baseField="0" baseItem="0"/>
    <dataField fld="1" subtotal="count" baseField="0" baseItem="0"/>
  </dataFields>
  <pivotHierarchies count="5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caption="Total Actual c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s_Data]"/>
        <x15:activeTabTopLevelEntity name="[Budget_Data]"/>
        <x15:activeTabTopLevelEntity name="[Calendar]"/>
        <x15:activeTabTopLevelEntity name="[CostCenters]"/>
        <x15:activeTabTopLevelEntity name="[CategoryMa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A287CD-9E94-4A22-AC9A-A0A6CD1A6CF5}" name="Department" cacheId="148" applyNumberFormats="0" applyBorderFormats="0" applyFontFormats="0" applyPatternFormats="0" applyAlignmentFormats="0" applyWidthHeightFormats="1" dataCaption="Values" tag="28ea7d8b-4864-4762-91b5-30f9e6124b96" updatedVersion="8" minRefreshableVersion="3" useAutoFormatting="1" rowGrandTotals="0" colGrandTotals="0" itemPrintTitles="1" createdVersion="8" indent="0" outline="1" outlineData="1" multipleFieldFilters="0" chartFormat="12">
  <location ref="W3:X7" firstHeaderRow="1" firstDataRow="1" firstDataCol="1"/>
  <pivotFields count="3">
    <pivotField axis="axisRow" allDrilled="1"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howAll="0" defaultSubtotal="0"/>
    <pivotField allDrilled="1" subtotalTop="0" showAll="0" dataSourceSort="1" defaultSubtotal="0" defaultAttributeDrillState="1"/>
  </pivotFields>
  <rowFields count="1">
    <field x="0"/>
  </rowFields>
  <rowItems count="4">
    <i>
      <x/>
    </i>
    <i>
      <x v="3"/>
    </i>
    <i>
      <x v="2"/>
    </i>
    <i>
      <x v="1"/>
    </i>
  </rowItems>
  <colItems count="1">
    <i/>
  </colItems>
  <dataFields count="1">
    <dataField fld="1" subtotal="count" baseField="0" baseItem="0" numFmtId="10"/>
  </dataFields>
  <formats count="1">
    <format dxfId="11">
      <pivotArea dataOnly="0" labelOnly="1" fieldPosition="0">
        <references count="1">
          <reference field="0" count="1">
            <x v="0"/>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8"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s_Data]"/>
        <x15:activeTabTopLevelEntity name="[Budget_Data]"/>
        <x15:activeTabTopLevelEntity name="[Calendar]"/>
        <x15:activeTabTopLevelEntity name="[CostCenters]"/>
        <x15:activeTabTopLevelEntity name="[CategoryMa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A2CBB6-F224-49D5-8DD0-90E31668FF5D}" name="Top5" cacheId="229" applyNumberFormats="0" applyBorderFormats="0" applyFontFormats="0" applyPatternFormats="0" applyAlignmentFormats="0" applyWidthHeightFormats="1" dataCaption="Values" tag="c1d5b3ee-0f37-44f4-ac8c-2311bab5ee52" updatedVersion="8" minRefreshableVersion="3" showDrill="0" useAutoFormatting="1" rowGrandTotals="0" colGrandTotals="0" itemPrintTitles="1" createdVersion="8" indent="0" outline="1" outlineData="1" multipleFieldFilters="0" chartFormat="21">
  <location ref="S3:T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numFmtId="10"/>
  </dataFields>
  <chartFormats count="2">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4" iMeasureHier="40">
      <autoFilter ref="A1">
        <filterColumn colId="0">
          <top10 top="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s_Data]"/>
        <x15:activeTabTopLevelEntity name="[Budget_Data]"/>
        <x15:activeTabTopLevelEntity name="[Calendar]"/>
        <x15:activeTabTopLevelEntity name="[CostCenters]"/>
        <x15:activeTabTopLevelEntity name="[CategoryMa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B15C07-9230-4F8E-B5F2-92B77B581E87}" name="Variances" cacheId="232" applyNumberFormats="0" applyBorderFormats="0" applyFontFormats="0" applyPatternFormats="0" applyAlignmentFormats="0" applyWidthHeightFormats="1" dataCaption="Values" tag="39cc36ca-c0e4-4402-8244-469a365d60eb" updatedVersion="8" minRefreshableVersion="3" useAutoFormatting="1" itemPrintTitles="1" createdVersion="8" indent="0" outline="1" outlineData="1" multipleFieldFilters="0">
  <location ref="K3:M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numFmtId="10"/>
  </dataFields>
  <pivotHierarchies count="5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s_Data]"/>
        <x15:activeTabTopLevelEntity name="[Budget_Data]"/>
        <x15:activeTabTopLevelEntity name="[Calendar]"/>
        <x15:activeTabTopLevelEntity name="[CostCe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0E4632-223A-4DA2-901C-4A4E58985718}" name="TotalsCategory" cacheId="217" applyNumberFormats="0" applyBorderFormats="0" applyFontFormats="0" applyPatternFormats="0" applyAlignmentFormats="0" applyWidthHeightFormats="1" dataCaption="Values" tag="79796f64-7f77-4e9c-86cf-8e83c017ef16" updatedVersion="8" minRefreshableVersion="3" useAutoFormatting="1" subtotalHiddenItems="1" itemPrintTitles="1" createdVersion="8" indent="0" outline="1" outlineData="1" multipleFieldFilters="0" chartFormat="22">
  <location ref="O3:Q2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s>
  <rowFields count="2">
    <field x="3"/>
    <field x="2"/>
  </rowFields>
  <rowItems count="17">
    <i>
      <x/>
    </i>
    <i r="1">
      <x/>
    </i>
    <i r="1">
      <x v="1"/>
    </i>
    <i r="1">
      <x v="2"/>
    </i>
    <i>
      <x v="1"/>
    </i>
    <i r="1">
      <x v="3"/>
    </i>
    <i r="1">
      <x v="4"/>
    </i>
    <i r="1">
      <x v="5"/>
    </i>
    <i>
      <x v="2"/>
    </i>
    <i r="1">
      <x v="6"/>
    </i>
    <i r="1">
      <x v="7"/>
    </i>
    <i r="1">
      <x v="8"/>
    </i>
    <i>
      <x v="3"/>
    </i>
    <i r="1">
      <x v="9"/>
    </i>
    <i r="1">
      <x v="10"/>
    </i>
    <i r="1">
      <x v="11"/>
    </i>
    <i t="grand">
      <x/>
    </i>
  </rowItems>
  <colFields count="1">
    <field x="-2"/>
  </colFields>
  <colItems count="2">
    <i>
      <x/>
    </i>
    <i i="1">
      <x v="1"/>
    </i>
  </colItems>
  <dataFields count="2">
    <dataField name="Total Actual Data" fld="0" subtotal="count" baseField="0" baseItem="0"/>
    <dataField fld="1" subtotal="count"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pivotArea type="data" outline="0" fieldPosition="0">
        <references count="3">
          <reference field="4294967294" count="1" selected="0">
            <x v="0"/>
          </reference>
          <reference field="2" count="1" selected="0">
            <x v="10"/>
          </reference>
          <reference field="3" count="1" selected="0">
            <x v="3"/>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caption="Total Actual Dat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s_Data]"/>
        <x15:activeTabTopLevelEntity name="[Budget_Data]"/>
        <x15:activeTabTopLevelEntity name="[Calendar]"/>
        <x15:activeTabTopLevelEntity name="[CostCenters]"/>
        <x15:activeTabTopLevelEntity name="[CategoryMapping]"/>
        <x15:activeTabTopLevelEntity name="[Category_Budg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F79797-1464-4C70-8F50-E09C937403E3}" sourceName="[CostCenters].[REGION]">
  <pivotTables>
    <pivotTable tabId="1" name="NormalTotals"/>
    <pivotTable tabId="1" name="Variances"/>
    <pivotTable tabId="1" name="AccumTotals"/>
    <pivotTable tabId="1" name="TotalsCategory"/>
    <pivotTable tabId="1" name="Top5"/>
    <pivotTable tabId="1" name="Department"/>
    <pivotTable tabId="1" name="PivotTable1"/>
    <pivotTable tabId="1" name="PivotTable2"/>
    <pivotTable tabId="1" name="CountryVar"/>
    <pivotTable tabId="1" name="PivotTable4"/>
  </pivotTables>
  <data>
    <olap pivotCacheId="1892393663">
      <levels count="2">
        <level uniqueName="[CostCenters].[REGION].[(All)]" sourceCaption="(All)" count="0"/>
        <level uniqueName="[CostCenters].[REGION].[REGION]" sourceCaption="REGION" count="4">
          <ranges>
            <range startItem="0">
              <i n="[CostCenters].[REGION].&amp;[Calgary]" c="Calgary"/>
              <i n="[CostCenters].[REGION].&amp;[Montreal]" c="Montreal"/>
              <i n="[CostCenters].[REGION].&amp;[Toronto]" c="Toronto"/>
              <i n="[CostCenters].[REGION].&amp;[Vancouver]" c="Vancouver"/>
            </range>
          </ranges>
        </level>
      </levels>
      <selections count="1">
        <selection n="[CostCent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A059A4B-CFB2-4F46-9CFF-28F0962A8449}" sourceName="[Calendar].[Month]">
  <pivotTables>
    <pivotTable tabId="1" name="NormalTotals"/>
    <pivotTable tabId="1" name="Department"/>
    <pivotTable tabId="1" name="Top5"/>
    <pivotTable tabId="1" name="TotalsCategory"/>
    <pivotTable tabId="1" name="Variances"/>
    <pivotTable tabId="1" name="PivotTable1"/>
    <pivotTable tabId="1" name="PivotTable2"/>
    <pivotTable tabId="1" name="CountryVar"/>
    <pivotTable tabId="1" name="PivotTable4"/>
  </pivotTables>
  <data>
    <olap pivotCacheId="1892393663">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7513E53-3BC3-4297-A044-6B4BEA354339}" sourceName="[CategoryMapping].[DEPARTMENT]">
  <pivotTables>
    <pivotTable tabId="1" name="TotalsCategory"/>
    <pivotTable tabId="1" name="AccumTotals"/>
    <pivotTable tabId="1" name="NormalTotals"/>
    <pivotTable tabId="1" name="PivotTable1"/>
    <pivotTable tabId="1" name="Top5"/>
    <pivotTable tabId="1" name="Variances"/>
    <pivotTable tabId="1" name="PivotTable2"/>
    <pivotTable tabId="1" name="CountryVar"/>
    <pivotTable tabId="1" name="PivotTable4"/>
  </pivotTables>
  <data>
    <olap pivotCacheId="1892393663">
      <levels count="2">
        <level uniqueName="[CategoryMapping].[DEPARTMENT].[(All)]" sourceCaption="(All)" count="0"/>
        <level uniqueName="[CategoryMapping].[DEPARTMENT].[DEPARTMENT]" sourceCaption="DEPARTMENT" count="4">
          <ranges>
            <range startItem="0">
              <i n="[CategoryMapping].[DEPARTMENT].&amp;[Human Resources]" c="Human Resources"/>
              <i n="[CategoryMapping].[DEPARTMENT].&amp;[IT]" c="IT"/>
              <i n="[CategoryMapping].[DEPARTMENT].&amp;[Marketing]" c="Marketing"/>
              <i n="[CategoryMapping].[DEPARTMENT].&amp;[Operations]" c="Operations"/>
            </range>
          </ranges>
        </level>
      </levels>
      <selections count="1">
        <selection n="[CategoryMapping].[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23B699-15EB-4633-B833-DFB6656F9AEB}" cache="Slicer_REGION" caption="Region " level="1" style="SlicerStyleOther1 2" rowHeight="234950"/>
  <slicer name="Month" xr10:uid="{CACD9971-4384-4406-B483-B12AED080A07}" cache="Slicer_Month" caption="Month" columnCount="2" level="1" style="SlicerStyleOther1 2" rowHeight="234950"/>
  <slicer name="DEPARTMENT 1" xr10:uid="{4CE63659-1A47-4640-99E4-5B471D28705F}" cache="Slicer_DEPARTMENT1" caption="Department" level="1" style="SlicerStyleOther1 2" rowHeight="234950"/>
</slicers>
</file>

<file path=xl/theme/theme1.xml><?xml version="1.0" encoding="utf-8"?>
<a:theme xmlns:a="http://schemas.openxmlformats.org/drawingml/2006/main" name="Office Theme">
  <a:themeElements>
    <a:clrScheme name="JP – Corporate Blue">
      <a:dk1>
        <a:srgbClr val="FFFFFF"/>
      </a:dk1>
      <a:lt1>
        <a:srgbClr val="E6E6E6"/>
      </a:lt1>
      <a:dk2>
        <a:srgbClr val="0F2A44"/>
      </a:dk2>
      <a:lt2>
        <a:srgbClr val="D9E2EF"/>
      </a:lt2>
      <a:accent1>
        <a:srgbClr val="4E79A7"/>
      </a:accent1>
      <a:accent2>
        <a:srgbClr val="A0CBE8"/>
      </a:accent2>
      <a:accent3>
        <a:srgbClr val="59A14F"/>
      </a:accent3>
      <a:accent4>
        <a:srgbClr val="E15759"/>
      </a:accent4>
      <a:accent5>
        <a:srgbClr val="BAB0AC"/>
      </a:accent5>
      <a:accent6>
        <a:srgbClr val="B07AA1"/>
      </a:accent6>
      <a:hlink>
        <a:srgbClr val="4E79A7"/>
      </a:hlink>
      <a:folHlink>
        <a:srgbClr val="A0CBE8"/>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U21"/>
  <sheetViews>
    <sheetView showGridLines="0" topLeftCell="I1" workbookViewId="0">
      <selection activeCell="T4" sqref="T4"/>
    </sheetView>
  </sheetViews>
  <sheetFormatPr defaultRowHeight="14.4" x14ac:dyDescent="0.3"/>
  <cols>
    <col min="2" max="2" width="9.88671875" bestFit="1" customWidth="1"/>
    <col min="3" max="3" width="15.88671875" bestFit="1" customWidth="1"/>
    <col min="4" max="4" width="8.33203125" bestFit="1" customWidth="1"/>
    <col min="5" max="5" width="12.21875" bestFit="1" customWidth="1"/>
    <col min="6" max="6" width="12.5546875" bestFit="1" customWidth="1"/>
    <col min="7" max="7" width="23.21875" bestFit="1" customWidth="1"/>
    <col min="8" max="8" width="27.33203125" bestFit="1" customWidth="1"/>
    <col min="9" max="9" width="8.33203125" bestFit="1" customWidth="1"/>
    <col min="10" max="10" width="15.88671875" bestFit="1" customWidth="1"/>
    <col min="11" max="11" width="12.5546875" bestFit="1" customWidth="1"/>
    <col min="12" max="12" width="8.33203125" bestFit="1" customWidth="1"/>
    <col min="13" max="13" width="12.21875" bestFit="1" customWidth="1"/>
    <col min="14" max="14" width="15.88671875" bestFit="1" customWidth="1"/>
    <col min="15" max="15" width="18.109375" bestFit="1" customWidth="1"/>
    <col min="16" max="16" width="15.44140625" bestFit="1" customWidth="1"/>
    <col min="17" max="18" width="15.88671875" bestFit="1" customWidth="1"/>
    <col min="19" max="19" width="12.5546875" bestFit="1" customWidth="1"/>
    <col min="20" max="21" width="12.21875" bestFit="1" customWidth="1"/>
    <col min="22" max="22" width="15.88671875" bestFit="1" customWidth="1"/>
    <col min="23" max="23" width="15.6640625" bestFit="1" customWidth="1"/>
    <col min="24" max="24" width="12.21875" bestFit="1" customWidth="1"/>
    <col min="25" max="25" width="16" bestFit="1" customWidth="1"/>
    <col min="26" max="26" width="15.6640625" bestFit="1" customWidth="1"/>
    <col min="27" max="27" width="9.88671875" bestFit="1" customWidth="1"/>
    <col min="28" max="28" width="12.21875" bestFit="1" customWidth="1"/>
    <col min="29" max="30" width="8.5546875" bestFit="1" customWidth="1"/>
    <col min="31" max="31" width="12.5546875" bestFit="1" customWidth="1"/>
    <col min="32" max="32" width="8.33203125" bestFit="1" customWidth="1"/>
    <col min="33" max="33" width="15.88671875" bestFit="1" customWidth="1"/>
    <col min="35" max="35" width="9.5546875" bestFit="1" customWidth="1"/>
    <col min="36" max="47" width="8.44140625" bestFit="1" customWidth="1"/>
    <col min="48" max="236" width="10.77734375" bestFit="1" customWidth="1"/>
  </cols>
  <sheetData>
    <row r="3" spans="2:47" x14ac:dyDescent="0.3">
      <c r="B3" s="1" t="s">
        <v>1</v>
      </c>
      <c r="C3" t="s">
        <v>54</v>
      </c>
      <c r="D3" t="s">
        <v>3</v>
      </c>
      <c r="F3" s="1" t="s">
        <v>1</v>
      </c>
      <c r="G3" t="s">
        <v>16</v>
      </c>
      <c r="H3" t="s">
        <v>55</v>
      </c>
      <c r="K3" s="1" t="s">
        <v>1</v>
      </c>
      <c r="L3" t="s">
        <v>17</v>
      </c>
      <c r="M3" t="s">
        <v>18</v>
      </c>
      <c r="O3" s="1" t="s">
        <v>1</v>
      </c>
      <c r="P3" t="s">
        <v>56</v>
      </c>
      <c r="Q3" t="s">
        <v>3</v>
      </c>
      <c r="S3" s="1" t="s">
        <v>1</v>
      </c>
      <c r="T3" t="s">
        <v>18</v>
      </c>
      <c r="W3" s="1" t="s">
        <v>1</v>
      </c>
      <c r="X3" t="s">
        <v>18</v>
      </c>
      <c r="Z3" s="1" t="s">
        <v>1</v>
      </c>
      <c r="AA3" t="s">
        <v>17</v>
      </c>
      <c r="AB3" t="s">
        <v>18</v>
      </c>
      <c r="AE3" s="1" t="s">
        <v>1</v>
      </c>
      <c r="AF3" t="s">
        <v>17</v>
      </c>
      <c r="AJ3" t="s">
        <v>41</v>
      </c>
      <c r="AK3" t="s">
        <v>42</v>
      </c>
      <c r="AL3" t="s">
        <v>43</v>
      </c>
      <c r="AM3" t="s">
        <v>44</v>
      </c>
      <c r="AN3" t="s">
        <v>45</v>
      </c>
      <c r="AO3" t="s">
        <v>46</v>
      </c>
      <c r="AP3" t="s">
        <v>47</v>
      </c>
      <c r="AQ3" t="s">
        <v>48</v>
      </c>
      <c r="AR3" t="s">
        <v>49</v>
      </c>
      <c r="AS3" t="s">
        <v>50</v>
      </c>
      <c r="AT3" t="s">
        <v>51</v>
      </c>
      <c r="AU3" t="s">
        <v>52</v>
      </c>
    </row>
    <row r="4" spans="2:47" x14ac:dyDescent="0.3">
      <c r="B4" s="2" t="s">
        <v>8</v>
      </c>
      <c r="C4" s="3">
        <v>123199.86</v>
      </c>
      <c r="D4" s="3">
        <v>128725.53</v>
      </c>
      <c r="F4" s="2" t="s">
        <v>8</v>
      </c>
      <c r="G4" s="3">
        <v>128725.53</v>
      </c>
      <c r="H4" s="3">
        <v>123199.85999999999</v>
      </c>
      <c r="K4" s="2" t="s">
        <v>8</v>
      </c>
      <c r="L4" s="3">
        <v>5525.6699999999983</v>
      </c>
      <c r="M4" s="4">
        <v>4.2925983680160401E-2</v>
      </c>
      <c r="O4" s="2" t="s">
        <v>34</v>
      </c>
      <c r="P4" s="12"/>
      <c r="Q4" s="12"/>
      <c r="S4" s="2" t="s">
        <v>20</v>
      </c>
      <c r="T4" s="4">
        <v>1.704482248122104E-2</v>
      </c>
      <c r="W4" s="13" t="s">
        <v>34</v>
      </c>
      <c r="X4" s="4">
        <v>2.6883586080351965E-4</v>
      </c>
      <c r="Z4" s="2" t="s">
        <v>34</v>
      </c>
      <c r="AA4" s="3">
        <v>1241631.8900000001</v>
      </c>
      <c r="AB4" s="3">
        <v>0.76376796650943801</v>
      </c>
      <c r="AE4" s="2" t="s">
        <v>37</v>
      </c>
      <c r="AF4" s="3">
        <v>103.27000000001863</v>
      </c>
    </row>
    <row r="5" spans="2:47" x14ac:dyDescent="0.3">
      <c r="B5" s="2" t="s">
        <v>7</v>
      </c>
      <c r="C5" s="3">
        <v>151308.44</v>
      </c>
      <c r="D5" s="3">
        <v>145011.12</v>
      </c>
      <c r="F5" s="2" t="s">
        <v>7</v>
      </c>
      <c r="G5" s="3">
        <v>273736.65000000002</v>
      </c>
      <c r="H5" s="3">
        <v>274508.3</v>
      </c>
      <c r="K5" s="2" t="s">
        <v>7</v>
      </c>
      <c r="L5" s="3">
        <v>-6297.320000000007</v>
      </c>
      <c r="M5" s="4">
        <v>-2.3005030564960907E-2</v>
      </c>
      <c r="O5" s="5" t="s">
        <v>25</v>
      </c>
      <c r="P5" s="3">
        <v>130086.93</v>
      </c>
      <c r="Q5" s="3">
        <v>133128.35</v>
      </c>
      <c r="S5" s="2" t="s">
        <v>24</v>
      </c>
      <c r="T5" s="4">
        <v>1.5364722905980819E-2</v>
      </c>
      <c r="W5" s="2" t="s">
        <v>33</v>
      </c>
      <c r="X5" s="4">
        <v>2.8295034939126458E-4</v>
      </c>
      <c r="Z5" s="2" t="s">
        <v>32</v>
      </c>
      <c r="AA5" s="3">
        <v>1254383.8500000001</v>
      </c>
      <c r="AB5" s="3">
        <v>0.77161210987966811</v>
      </c>
      <c r="AE5" s="2" t="s">
        <v>40</v>
      </c>
      <c r="AF5" s="3">
        <v>113.72999999998137</v>
      </c>
      <c r="AI5" t="s">
        <v>2</v>
      </c>
      <c r="AJ5" s="3">
        <v>123199.86</v>
      </c>
      <c r="AK5" s="3">
        <v>151308.44</v>
      </c>
      <c r="AL5" s="3">
        <v>150041.19</v>
      </c>
      <c r="AM5" s="3">
        <v>126404.31</v>
      </c>
      <c r="AN5" s="3">
        <v>116087.23</v>
      </c>
      <c r="AO5" s="3">
        <v>149209.01</v>
      </c>
      <c r="AP5" s="3">
        <v>137826</v>
      </c>
      <c r="AQ5" s="3">
        <v>118444.61</v>
      </c>
      <c r="AR5" s="3">
        <v>128625.46</v>
      </c>
      <c r="AS5" s="3">
        <v>109240.33</v>
      </c>
      <c r="AT5" s="3">
        <v>154781.1</v>
      </c>
      <c r="AU5" s="3">
        <v>138866.69</v>
      </c>
    </row>
    <row r="6" spans="2:47" x14ac:dyDescent="0.3">
      <c r="B6" s="2" t="s">
        <v>11</v>
      </c>
      <c r="C6" s="3">
        <v>150041.19</v>
      </c>
      <c r="D6" s="3">
        <v>150428.76999999999</v>
      </c>
      <c r="F6" s="2" t="s">
        <v>11</v>
      </c>
      <c r="G6" s="3">
        <v>424165.42000000004</v>
      </c>
      <c r="H6" s="3">
        <v>424549.48999999987</v>
      </c>
      <c r="K6" s="2" t="s">
        <v>11</v>
      </c>
      <c r="L6" s="3">
        <v>387.57999999998719</v>
      </c>
      <c r="M6" s="4">
        <v>9.1374728284070671E-4</v>
      </c>
      <c r="O6" s="5" t="s">
        <v>27</v>
      </c>
      <c r="P6" s="3">
        <v>115206.86</v>
      </c>
      <c r="Q6" s="3">
        <v>117977.93</v>
      </c>
      <c r="S6" s="2" t="s">
        <v>26</v>
      </c>
      <c r="T6" s="4">
        <v>-2.7860964854897204E-2</v>
      </c>
      <c r="W6" s="2" t="s">
        <v>31</v>
      </c>
      <c r="X6" s="4">
        <v>2.1929218945051183E-2</v>
      </c>
      <c r="Z6" s="2" t="s">
        <v>31</v>
      </c>
      <c r="AA6" s="3">
        <v>1178778.6900000002</v>
      </c>
      <c r="AB6" s="3">
        <v>0.72510492866445242</v>
      </c>
      <c r="AE6" s="2" t="s">
        <v>39</v>
      </c>
      <c r="AF6" s="3">
        <v>10019.619999999995</v>
      </c>
    </row>
    <row r="7" spans="2:47" x14ac:dyDescent="0.3">
      <c r="B7" s="2" t="s">
        <v>4</v>
      </c>
      <c r="C7" s="3">
        <v>126404.31</v>
      </c>
      <c r="D7" s="3">
        <v>131018.15</v>
      </c>
      <c r="F7" s="2" t="s">
        <v>4</v>
      </c>
      <c r="G7" s="3">
        <v>555183.57000000007</v>
      </c>
      <c r="H7" s="3">
        <v>550953.79999999981</v>
      </c>
      <c r="K7" s="2" t="s">
        <v>4</v>
      </c>
      <c r="L7" s="3">
        <v>4613.8399999999965</v>
      </c>
      <c r="M7" s="4">
        <v>8.3104764789779274E-3</v>
      </c>
      <c r="O7" s="5" t="s">
        <v>30</v>
      </c>
      <c r="P7" s="3">
        <v>138740.68</v>
      </c>
      <c r="Q7" s="3">
        <v>133031.46</v>
      </c>
      <c r="S7" s="2" t="s">
        <v>28</v>
      </c>
      <c r="T7" s="4">
        <v>-3.5146216642759076E-2</v>
      </c>
      <c r="W7" s="2" t="s">
        <v>32</v>
      </c>
      <c r="X7" s="4">
        <v>2.9778323824294923E-2</v>
      </c>
      <c r="Z7" s="2" t="s">
        <v>33</v>
      </c>
      <c r="AA7" s="3">
        <v>1223836.78</v>
      </c>
      <c r="AB7" s="3">
        <v>0.7528216183300982</v>
      </c>
      <c r="AE7" s="2" t="s">
        <v>38</v>
      </c>
      <c r="AF7" s="3">
        <v>11395.510000000009</v>
      </c>
    </row>
    <row r="8" spans="2:47" x14ac:dyDescent="0.3">
      <c r="B8" s="2" t="s">
        <v>12</v>
      </c>
      <c r="C8" s="3">
        <v>116087.23</v>
      </c>
      <c r="D8" s="3">
        <v>115846.75</v>
      </c>
      <c r="F8" s="2" t="s">
        <v>12</v>
      </c>
      <c r="G8" s="3">
        <v>671030.32000000007</v>
      </c>
      <c r="H8" s="3">
        <v>667041.02999999991</v>
      </c>
      <c r="K8" s="2" t="s">
        <v>12</v>
      </c>
      <c r="L8" s="3">
        <v>-240.47999999999593</v>
      </c>
      <c r="M8" s="4">
        <v>-3.583742683937082E-4</v>
      </c>
      <c r="O8" s="2" t="s">
        <v>32</v>
      </c>
      <c r="P8" s="12"/>
      <c r="Q8" s="12"/>
      <c r="S8" s="2" t="s">
        <v>30</v>
      </c>
      <c r="T8" s="4">
        <v>-4.2916314682256373E-2</v>
      </c>
      <c r="Z8" s="2" t="s">
        <v>0</v>
      </c>
      <c r="AA8" s="3">
        <v>21632.130000000121</v>
      </c>
      <c r="AB8" s="3">
        <v>1.330662338365673E-2</v>
      </c>
      <c r="AE8" s="2" t="s">
        <v>0</v>
      </c>
      <c r="AF8" s="3">
        <v>21632.130000000121</v>
      </c>
    </row>
    <row r="9" spans="2:47" x14ac:dyDescent="0.3">
      <c r="B9" s="2" t="s">
        <v>10</v>
      </c>
      <c r="C9" s="3">
        <v>149209.01</v>
      </c>
      <c r="D9" s="3">
        <v>151780.46</v>
      </c>
      <c r="F9" s="2" t="s">
        <v>10</v>
      </c>
      <c r="G9" s="3">
        <v>822810.78</v>
      </c>
      <c r="H9" s="3">
        <v>816250.03999999969</v>
      </c>
      <c r="K9" s="2" t="s">
        <v>10</v>
      </c>
      <c r="L9" s="3">
        <v>2571.4499999999825</v>
      </c>
      <c r="M9" s="4">
        <v>3.1252021272740039E-3</v>
      </c>
      <c r="O9" s="5" t="s">
        <v>22</v>
      </c>
      <c r="P9" s="3">
        <v>125237.65</v>
      </c>
      <c r="Q9" s="3">
        <v>127509.84</v>
      </c>
    </row>
    <row r="10" spans="2:47" x14ac:dyDescent="0.3">
      <c r="B10" s="2" t="s">
        <v>9</v>
      </c>
      <c r="C10" s="3">
        <v>137826</v>
      </c>
      <c r="D10" s="3">
        <v>130653.65</v>
      </c>
      <c r="F10" s="2" t="s">
        <v>9</v>
      </c>
      <c r="G10" s="3">
        <v>953464.43</v>
      </c>
      <c r="H10" s="3">
        <v>954076.03999999969</v>
      </c>
      <c r="K10" s="2" t="s">
        <v>9</v>
      </c>
      <c r="L10" s="3">
        <v>-7172.3500000000058</v>
      </c>
      <c r="M10" s="4">
        <v>-7.5224096194128664E-3</v>
      </c>
      <c r="O10" s="5" t="s">
        <v>23</v>
      </c>
      <c r="P10" s="3">
        <v>113402.29</v>
      </c>
      <c r="Q10" s="3">
        <v>127029.21</v>
      </c>
    </row>
    <row r="11" spans="2:47" x14ac:dyDescent="0.3">
      <c r="B11" s="2" t="s">
        <v>5</v>
      </c>
      <c r="C11" s="3">
        <v>118444.61</v>
      </c>
      <c r="D11" s="3">
        <v>125023.7</v>
      </c>
      <c r="F11" s="2" t="s">
        <v>5</v>
      </c>
      <c r="G11" s="3">
        <v>1078488.1300000001</v>
      </c>
      <c r="H11" s="3">
        <v>1072520.6499999997</v>
      </c>
      <c r="K11" s="2" t="s">
        <v>5</v>
      </c>
      <c r="L11" s="3">
        <v>6579.0899999999965</v>
      </c>
      <c r="M11" s="4">
        <v>6.100289671245613E-3</v>
      </c>
      <c r="O11" s="5" t="s">
        <v>28</v>
      </c>
      <c r="P11" s="3">
        <v>132642.57</v>
      </c>
      <c r="Q11" s="3">
        <v>128138.97</v>
      </c>
    </row>
    <row r="12" spans="2:47" x14ac:dyDescent="0.3">
      <c r="B12" s="2" t="s">
        <v>15</v>
      </c>
      <c r="C12" s="3">
        <v>128625.46</v>
      </c>
      <c r="D12" s="3">
        <v>138639.88</v>
      </c>
      <c r="F12" s="2" t="s">
        <v>15</v>
      </c>
      <c r="G12" s="3">
        <v>1217128.0100000002</v>
      </c>
      <c r="H12" s="3">
        <v>1201146.1099999996</v>
      </c>
      <c r="K12" s="2" t="s">
        <v>15</v>
      </c>
      <c r="L12" s="3">
        <v>10014.419999999998</v>
      </c>
      <c r="M12" s="4">
        <v>8.2279102261396449E-3</v>
      </c>
      <c r="O12" s="2" t="s">
        <v>31</v>
      </c>
      <c r="P12" s="12"/>
      <c r="Q12" s="12"/>
    </row>
    <row r="13" spans="2:47" x14ac:dyDescent="0.3">
      <c r="B13" s="2" t="s">
        <v>14</v>
      </c>
      <c r="C13" s="3">
        <v>109240.33</v>
      </c>
      <c r="D13" s="3">
        <v>113874.88</v>
      </c>
      <c r="F13" s="2" t="s">
        <v>14</v>
      </c>
      <c r="G13" s="3">
        <v>1331002.8900000001</v>
      </c>
      <c r="H13" s="3">
        <v>1310386.4399999997</v>
      </c>
      <c r="K13" s="2" t="s">
        <v>14</v>
      </c>
      <c r="L13" s="3">
        <v>4634.5500000000029</v>
      </c>
      <c r="M13" s="4">
        <v>3.4819984500559591E-3</v>
      </c>
      <c r="O13" s="5" t="s">
        <v>19</v>
      </c>
      <c r="P13" s="3">
        <v>116561.67</v>
      </c>
      <c r="Q13" s="3">
        <v>119421.02</v>
      </c>
    </row>
    <row r="14" spans="2:47" x14ac:dyDescent="0.3">
      <c r="B14" s="2" t="s">
        <v>13</v>
      </c>
      <c r="C14" s="3">
        <v>154781.1</v>
      </c>
      <c r="D14" s="3">
        <v>157514.6</v>
      </c>
      <c r="F14" s="2" t="s">
        <v>13</v>
      </c>
      <c r="G14" s="3">
        <v>1488517.4900000002</v>
      </c>
      <c r="H14" s="3">
        <v>1465167.5399999996</v>
      </c>
      <c r="K14" s="2" t="s">
        <v>13</v>
      </c>
      <c r="L14" s="3">
        <v>2733.5</v>
      </c>
      <c r="M14" s="4">
        <v>1.8363909180536399E-3</v>
      </c>
      <c r="O14" s="5" t="s">
        <v>20</v>
      </c>
      <c r="P14" s="3">
        <v>167443.79</v>
      </c>
      <c r="Q14" s="3">
        <v>170347.33</v>
      </c>
    </row>
    <row r="15" spans="2:47" x14ac:dyDescent="0.3">
      <c r="B15" s="2" t="s">
        <v>6</v>
      </c>
      <c r="C15" s="3">
        <v>138866.69</v>
      </c>
      <c r="D15" s="3">
        <v>137148.87</v>
      </c>
      <c r="F15" s="2" t="s">
        <v>6</v>
      </c>
      <c r="G15" s="3">
        <v>1625666.3600000003</v>
      </c>
      <c r="H15" s="3">
        <v>1604034.23</v>
      </c>
      <c r="K15" s="2" t="s">
        <v>6</v>
      </c>
      <c r="L15" s="3">
        <v>-1717.820000000007</v>
      </c>
      <c r="M15" s="4">
        <v>-1.0566866869288029E-3</v>
      </c>
      <c r="O15" s="5" t="s">
        <v>21</v>
      </c>
      <c r="P15" s="3">
        <v>162882.21</v>
      </c>
      <c r="Q15" s="3">
        <v>167138.94</v>
      </c>
    </row>
    <row r="16" spans="2:47" x14ac:dyDescent="0.3">
      <c r="B16" s="2" t="s">
        <v>0</v>
      </c>
      <c r="C16" s="3">
        <v>1604034.23</v>
      </c>
      <c r="D16" s="3">
        <v>1625666.36</v>
      </c>
      <c r="F16" s="2" t="s">
        <v>0</v>
      </c>
      <c r="G16" s="3">
        <v>1625666.36</v>
      </c>
      <c r="H16" s="3">
        <v>1604034.23</v>
      </c>
      <c r="K16" s="2" t="s">
        <v>0</v>
      </c>
      <c r="L16" s="3">
        <v>21632.130000000121</v>
      </c>
      <c r="M16" s="4">
        <v>1.330662338365673E-2</v>
      </c>
      <c r="O16" s="2" t="s">
        <v>33</v>
      </c>
      <c r="P16" s="12"/>
      <c r="Q16" s="12"/>
    </row>
    <row r="17" spans="2:17" x14ac:dyDescent="0.3">
      <c r="O17" s="5" t="s">
        <v>24</v>
      </c>
      <c r="P17" s="3">
        <v>121802.83</v>
      </c>
      <c r="Q17" s="3">
        <v>123703.5</v>
      </c>
    </row>
    <row r="18" spans="2:17" x14ac:dyDescent="0.3">
      <c r="O18" s="5" t="s">
        <v>26</v>
      </c>
      <c r="P18" s="3">
        <v>157830.96</v>
      </c>
      <c r="Q18" s="3">
        <v>153552.82999999999</v>
      </c>
    </row>
    <row r="19" spans="2:17" x14ac:dyDescent="0.3">
      <c r="O19" s="5" t="s">
        <v>29</v>
      </c>
      <c r="P19" s="3">
        <v>122195.79</v>
      </c>
      <c r="Q19" s="3">
        <v>124686.98</v>
      </c>
    </row>
    <row r="20" spans="2:17" x14ac:dyDescent="0.3">
      <c r="B20" t="s">
        <v>2</v>
      </c>
      <c r="C20" t="s">
        <v>3</v>
      </c>
      <c r="D20" t="s">
        <v>17</v>
      </c>
      <c r="E20" t="s">
        <v>18</v>
      </c>
      <c r="O20" s="2" t="s">
        <v>0</v>
      </c>
      <c r="P20" s="3">
        <v>1604034.23</v>
      </c>
      <c r="Q20" s="3">
        <v>1625666.36</v>
      </c>
    </row>
    <row r="21" spans="2:17" x14ac:dyDescent="0.3">
      <c r="B21" s="3">
        <v>1604034.23</v>
      </c>
      <c r="C21" s="3">
        <v>1625666.36</v>
      </c>
      <c r="D21" s="3">
        <v>21632.130000000121</v>
      </c>
      <c r="E21" s="4">
        <v>1.330662338365673E-2</v>
      </c>
    </row>
  </sheetData>
  <conditionalFormatting pivot="1" sqref="X4:X7">
    <cfRule type="iconSet" priority="1">
      <iconSet iconSet="3Flags" reverse="1">
        <cfvo type="percent" val="0"/>
        <cfvo type="percent" val="33"/>
        <cfvo type="percent" val="67"/>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F9A96-B1AE-463A-A8D4-15DDA54A0AF7}">
  <dimension ref="E3:X37"/>
  <sheetViews>
    <sheetView showGridLines="0" tabSelected="1" zoomScale="35" zoomScaleNormal="50" workbookViewId="0">
      <selection activeCell="BB55" sqref="BB55"/>
    </sheetView>
  </sheetViews>
  <sheetFormatPr defaultRowHeight="14.4" x14ac:dyDescent="0.3"/>
  <cols>
    <col min="1" max="1" width="2.77734375" style="7" customWidth="1"/>
    <col min="2" max="9" width="8.88671875" style="7"/>
    <col min="10" max="10" width="12.6640625" style="7" bestFit="1" customWidth="1"/>
    <col min="11" max="11" width="14.33203125" style="7" bestFit="1" customWidth="1"/>
    <col min="12" max="12" width="22.5546875" style="7" bestFit="1" customWidth="1"/>
    <col min="13" max="13" width="16.44140625" style="7" bestFit="1" customWidth="1"/>
    <col min="14" max="14" width="24.77734375" style="7" bestFit="1" customWidth="1"/>
    <col min="15" max="17" width="8.88671875" style="7"/>
    <col min="18" max="18" width="6.109375" style="7" customWidth="1"/>
    <col min="19" max="19" width="4.109375" style="7" customWidth="1"/>
    <col min="20" max="20" width="19.33203125" style="7" bestFit="1" customWidth="1"/>
    <col min="21" max="21" width="14.77734375" style="7" bestFit="1" customWidth="1"/>
    <col min="22" max="22" width="8.88671875" style="7"/>
    <col min="23" max="23" width="19.21875" style="7" bestFit="1" customWidth="1"/>
    <col min="24" max="24" width="23" style="7" bestFit="1" customWidth="1"/>
    <col min="25" max="25" width="9.77734375" style="7" bestFit="1" customWidth="1"/>
    <col min="26" max="26" width="14.77734375" style="7" bestFit="1" customWidth="1"/>
    <col min="27" max="31" width="8.88671875" style="7"/>
    <col min="32" max="32" width="19.33203125" style="7" bestFit="1" customWidth="1"/>
    <col min="33" max="33" width="14.77734375" style="7" bestFit="1" customWidth="1"/>
    <col min="34" max="16384" width="8.88671875" style="7"/>
  </cols>
  <sheetData>
    <row r="3" spans="5:24" ht="32.4" x14ac:dyDescent="0.7">
      <c r="E3" s="6" t="s">
        <v>36</v>
      </c>
      <c r="X3" s="7" t="s">
        <v>53</v>
      </c>
    </row>
    <row r="4" spans="5:24" ht="32.4" x14ac:dyDescent="0.7">
      <c r="E4" s="6" t="s">
        <v>35</v>
      </c>
      <c r="F4" s="8"/>
      <c r="G4" s="9"/>
      <c r="I4" s="9"/>
      <c r="J4" s="9"/>
      <c r="K4" s="9"/>
      <c r="L4" s="9"/>
      <c r="M4" s="9"/>
      <c r="N4" s="9"/>
      <c r="O4" s="9"/>
    </row>
    <row r="5" spans="5:24" ht="21" x14ac:dyDescent="0.3">
      <c r="S5" s="10" t="str">
        <f>IF(Tables!D21&lt;0,"▲","▼")</f>
        <v>▼</v>
      </c>
      <c r="V5" s="11" t="str">
        <f>IF(Tables!E21&lt;0,"▲","▼")</f>
        <v>▼</v>
      </c>
    </row>
    <row r="35" s="7" customFormat="1" ht="25.8" x14ac:dyDescent="0.5"/>
    <row r="36" s="7" customFormat="1" ht="25.8" x14ac:dyDescent="0.5"/>
    <row r="37" s="7" customFormat="1" ht="25.8" x14ac:dyDescent="0.5"/>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3E437983-74D7-439D-806C-17FC7F7D01B1}">
            <xm:f>Tables!$D$21&lt;0</xm:f>
            <x14:dxf>
              <font>
                <color theme="5" tint="-0.24994659260841701"/>
              </font>
            </x14:dxf>
          </x14:cfRule>
          <x14:cfRule type="expression" priority="4" id="{18D96DDE-0B4F-4BCC-80D8-9631EB093C3C}">
            <xm:f>Tables!$D$21&gt;0</xm:f>
            <x14:dxf>
              <font>
                <color rgb="FF00B050"/>
              </font>
            </x14:dxf>
          </x14:cfRule>
          <xm:sqref>S5</xm:sqref>
        </x14:conditionalFormatting>
        <x14:conditionalFormatting xmlns:xm="http://schemas.microsoft.com/office/excel/2006/main">
          <x14:cfRule type="expression" priority="1" id="{827CE612-777A-4422-AA59-67EFD0202510}">
            <xm:f>Tables!$D$21&lt;0</xm:f>
            <x14:dxf>
              <font>
                <color theme="5" tint="-0.24994659260841701"/>
              </font>
            </x14:dxf>
          </x14:cfRule>
          <x14:cfRule type="expression" priority="2" id="{C8571312-D9F9-4E62-8F69-4121233BBB4E}">
            <xm:f>Tables!$D$21&gt;0</xm:f>
            <x14:dxf>
              <font>
                <color rgb="FF00B050"/>
              </font>
            </x14:dxf>
          </x14:cfRule>
          <xm:sqref>V5</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319E689C-AD09-4C82-803C-C0170C3C3F3F}">
  <ds:schemaRefs/>
</ds:datastoreItem>
</file>

<file path=customXml/itemProps2.xml><?xml version="1.0" encoding="utf-8"?>
<ds:datastoreItem xmlns:ds="http://schemas.openxmlformats.org/officeDocument/2006/customXml" ds:itemID="{F135F1F7-EB84-4331-88CF-68251426C888}">
  <ds:schemaRefs/>
</ds:datastoreItem>
</file>

<file path=customXml/itemProps3.xml><?xml version="1.0" encoding="utf-8"?>
<ds:datastoreItem xmlns:ds="http://schemas.openxmlformats.org/officeDocument/2006/customXml" ds:itemID="{E7CD9EC6-5059-45B3-892D-50AD0CB6E249}">
  <ds:schemaRefs/>
</ds:datastoreItem>
</file>

<file path=customXml/itemProps4.xml><?xml version="1.0" encoding="utf-8"?>
<ds:datastoreItem xmlns:ds="http://schemas.openxmlformats.org/officeDocument/2006/customXml" ds:itemID="{2206D3CD-E4B0-43AE-A25E-6A3A320D075C}">
  <ds:schemaRefs/>
</ds:datastoreItem>
</file>

<file path=customXml/itemProps5.xml><?xml version="1.0" encoding="utf-8"?>
<ds:datastoreItem xmlns:ds="http://schemas.openxmlformats.org/officeDocument/2006/customXml" ds:itemID="{A1A92C26-7276-4A91-A2CB-BCD227ABF4FA}">
  <ds:schemaRefs/>
</ds:datastoreItem>
</file>

<file path=customXml/itemProps6.xml><?xml version="1.0" encoding="utf-8"?>
<ds:datastoreItem xmlns:ds="http://schemas.openxmlformats.org/officeDocument/2006/customXml" ds:itemID="{4EDC057F-B74B-4104-9616-1F157485E881}">
  <ds:schemaRefs/>
</ds:datastoreItem>
</file>

<file path=customXml/itemProps7.xml><?xml version="1.0" encoding="utf-8"?>
<ds:datastoreItem xmlns:ds="http://schemas.openxmlformats.org/officeDocument/2006/customXml" ds:itemID="{6EEE0560-55FE-45FC-A1FD-B16CD635B0BF}">
  <ds:schemaRefs/>
</ds:datastoreItem>
</file>

<file path=customXml/itemProps8.xml><?xml version="1.0" encoding="utf-8"?>
<ds:datastoreItem xmlns:ds="http://schemas.openxmlformats.org/officeDocument/2006/customXml" ds:itemID="{10876E1C-2999-4933-A791-70C250719D46}">
  <ds:schemaRefs/>
</ds:datastoreItem>
</file>

<file path=customXml/itemProps9.xml><?xml version="1.0" encoding="utf-8"?>
<ds:datastoreItem xmlns:ds="http://schemas.openxmlformats.org/officeDocument/2006/customXml" ds:itemID="{907D501C-20AD-4049-BCEC-C5E8D220DB83}">
  <ds:schemaRefs/>
</ds:datastoreItem>
</file>

<file path=customXml/itemProps10.xml><?xml version="1.0" encoding="utf-8"?>
<ds:datastoreItem xmlns:ds="http://schemas.openxmlformats.org/officeDocument/2006/customXml" ds:itemID="{AA154307-078B-49C0-A0D8-60D017493FA8}">
  <ds:schemaRefs/>
</ds:datastoreItem>
</file>

<file path=customXml/itemProps11.xml><?xml version="1.0" encoding="utf-8"?>
<ds:datastoreItem xmlns:ds="http://schemas.openxmlformats.org/officeDocument/2006/customXml" ds:itemID="{F7EEA292-3853-43E8-B03E-B933BA540B70}">
  <ds:schemaRefs/>
</ds:datastoreItem>
</file>

<file path=customXml/itemProps12.xml><?xml version="1.0" encoding="utf-8"?>
<ds:datastoreItem xmlns:ds="http://schemas.openxmlformats.org/officeDocument/2006/customXml" ds:itemID="{34C36816-5563-4BF6-95AF-44C1E7DB18C2}">
  <ds:schemaRefs/>
</ds:datastoreItem>
</file>

<file path=customXml/itemProps13.xml><?xml version="1.0" encoding="utf-8"?>
<ds:datastoreItem xmlns:ds="http://schemas.openxmlformats.org/officeDocument/2006/customXml" ds:itemID="{E24DAF80-45EC-4B3F-9414-3FCF97CE4C46}">
  <ds:schemaRefs/>
</ds:datastoreItem>
</file>

<file path=customXml/itemProps14.xml><?xml version="1.0" encoding="utf-8"?>
<ds:datastoreItem xmlns:ds="http://schemas.openxmlformats.org/officeDocument/2006/customXml" ds:itemID="{F6F54D8E-0D77-4250-93C3-663CFCCFB6A0}">
  <ds:schemaRefs/>
</ds:datastoreItem>
</file>

<file path=customXml/itemProps15.xml><?xml version="1.0" encoding="utf-8"?>
<ds:datastoreItem xmlns:ds="http://schemas.openxmlformats.org/officeDocument/2006/customXml" ds:itemID="{36C6A85E-3D73-4F7E-B640-197B7D64FFF3}">
  <ds:schemaRefs/>
</ds:datastoreItem>
</file>

<file path=customXml/itemProps16.xml><?xml version="1.0" encoding="utf-8"?>
<ds:datastoreItem xmlns:ds="http://schemas.openxmlformats.org/officeDocument/2006/customXml" ds:itemID="{1E61FF21-36D3-4560-80F5-A66D219A2D3D}">
  <ds:schemaRefs/>
</ds:datastoreItem>
</file>

<file path=customXml/itemProps17.xml><?xml version="1.0" encoding="utf-8"?>
<ds:datastoreItem xmlns:ds="http://schemas.openxmlformats.org/officeDocument/2006/customXml" ds:itemID="{3F80649C-4FF6-4226-8737-CFFD179CE715}">
  <ds:schemaRefs/>
</ds:datastoreItem>
</file>

<file path=customXml/itemProps18.xml><?xml version="1.0" encoding="utf-8"?>
<ds:datastoreItem xmlns:ds="http://schemas.openxmlformats.org/officeDocument/2006/customXml" ds:itemID="{19447D2A-A43D-4C58-A4BC-55515AB7A91A}">
  <ds:schemaRefs/>
</ds:datastoreItem>
</file>

<file path=customXml/itemProps19.xml><?xml version="1.0" encoding="utf-8"?>
<ds:datastoreItem xmlns:ds="http://schemas.openxmlformats.org/officeDocument/2006/customXml" ds:itemID="{4DF19BBC-885A-4D97-82C6-72648A09AFD2}">
  <ds:schemaRefs/>
</ds:datastoreItem>
</file>

<file path=customXml/itemProps20.xml><?xml version="1.0" encoding="utf-8"?>
<ds:datastoreItem xmlns:ds="http://schemas.openxmlformats.org/officeDocument/2006/customXml" ds:itemID="{1389FAE9-B499-4CC8-8975-66665DBCC7FA}">
  <ds:schemaRefs/>
</ds:datastoreItem>
</file>

<file path=customXml/itemProps21.xml><?xml version="1.0" encoding="utf-8"?>
<ds:datastoreItem xmlns:ds="http://schemas.openxmlformats.org/officeDocument/2006/customXml" ds:itemID="{9500DC97-2B95-45FB-8982-93CEF97C2E99}">
  <ds:schemaRefs/>
</ds:datastoreItem>
</file>

<file path=customXml/itemProps22.xml><?xml version="1.0" encoding="utf-8"?>
<ds:datastoreItem xmlns:ds="http://schemas.openxmlformats.org/officeDocument/2006/customXml" ds:itemID="{4164B3D0-9046-49F3-9704-46F3CA8646CC}">
  <ds:schemaRefs/>
</ds:datastoreItem>
</file>

<file path=customXml/itemProps23.xml><?xml version="1.0" encoding="utf-8"?>
<ds:datastoreItem xmlns:ds="http://schemas.openxmlformats.org/officeDocument/2006/customXml" ds:itemID="{575A0E92-2232-443E-B096-5E1B1D7D7DA8}">
  <ds:schemaRefs/>
</ds:datastoreItem>
</file>

<file path=customXml/itemProps24.xml><?xml version="1.0" encoding="utf-8"?>
<ds:datastoreItem xmlns:ds="http://schemas.openxmlformats.org/officeDocument/2006/customXml" ds:itemID="{517668AC-FDA8-4A0E-A265-B5434796949B}">
  <ds:schemaRefs/>
</ds:datastoreItem>
</file>

<file path=customXml/itemProps25.xml><?xml version="1.0" encoding="utf-8"?>
<ds:datastoreItem xmlns:ds="http://schemas.openxmlformats.org/officeDocument/2006/customXml" ds:itemID="{192BD484-845B-4A4E-8B3B-6CB93F1C19A3}">
  <ds:schemaRefs/>
</ds:datastoreItem>
</file>

<file path=customXml/itemProps26.xml><?xml version="1.0" encoding="utf-8"?>
<ds:datastoreItem xmlns:ds="http://schemas.openxmlformats.org/officeDocument/2006/customXml" ds:itemID="{28A40AA1-1D6B-4205-9A53-F9F455D27346}">
  <ds:schemaRefs/>
</ds:datastoreItem>
</file>

<file path=customXml/itemProps27.xml><?xml version="1.0" encoding="utf-8"?>
<ds:datastoreItem xmlns:ds="http://schemas.openxmlformats.org/officeDocument/2006/customXml" ds:itemID="{B209C2F2-2173-4740-A265-9DDBFF8CD3DB}">
  <ds:schemaRefs/>
</ds:datastoreItem>
</file>

<file path=customXml/itemProps28.xml><?xml version="1.0" encoding="utf-8"?>
<ds:datastoreItem xmlns:ds="http://schemas.openxmlformats.org/officeDocument/2006/customXml" ds:itemID="{A1A27626-57E2-41FE-9FF2-2356B78C63C9}">
  <ds:schemaRefs/>
</ds:datastoreItem>
</file>

<file path=customXml/itemProps29.xml><?xml version="1.0" encoding="utf-8"?>
<ds:datastoreItem xmlns:ds="http://schemas.openxmlformats.org/officeDocument/2006/customXml" ds:itemID="{8715DAC2-273E-4A86-A22E-439FEF224EDD}">
  <ds:schemaRefs/>
</ds:datastoreItem>
</file>

<file path=customXml/itemProps30.xml><?xml version="1.0" encoding="utf-8"?>
<ds:datastoreItem xmlns:ds="http://schemas.openxmlformats.org/officeDocument/2006/customXml" ds:itemID="{4B6BFF03-BF4E-4369-91A3-DE60AFC5905A}">
  <ds:schemaRefs>
    <ds:schemaRef ds:uri="http://schemas.microsoft.com/DataMashup"/>
  </ds:schemaRefs>
</ds:datastoreItem>
</file>

<file path=customXml/itemProps31.xml><?xml version="1.0" encoding="utf-8"?>
<ds:datastoreItem xmlns:ds="http://schemas.openxmlformats.org/officeDocument/2006/customXml" ds:itemID="{BBAD0EF6-C5D2-42C4-B7AF-96531E370471}">
  <ds:schemaRefs/>
</ds:datastoreItem>
</file>

<file path=customXml/itemProps32.xml><?xml version="1.0" encoding="utf-8"?>
<ds:datastoreItem xmlns:ds="http://schemas.openxmlformats.org/officeDocument/2006/customXml" ds:itemID="{5A7C2CA4-F9FA-4814-BA22-7D06CAAC16AA}">
  <ds:schemaRefs/>
</ds:datastoreItem>
</file>

<file path=customXml/itemProps33.xml><?xml version="1.0" encoding="utf-8"?>
<ds:datastoreItem xmlns:ds="http://schemas.openxmlformats.org/officeDocument/2006/customXml" ds:itemID="{9D5B8FEB-4ADA-4A60-9607-02E61B9170A1}">
  <ds:schemaRefs/>
</ds:datastoreItem>
</file>

<file path=customXml/itemProps34.xml><?xml version="1.0" encoding="utf-8"?>
<ds:datastoreItem xmlns:ds="http://schemas.openxmlformats.org/officeDocument/2006/customXml" ds:itemID="{D5F0F361-23C8-4C9A-B24E-05A80C2FB548}">
  <ds:schemaRefs/>
</ds:datastoreItem>
</file>

<file path=customXml/itemProps35.xml><?xml version="1.0" encoding="utf-8"?>
<ds:datastoreItem xmlns:ds="http://schemas.openxmlformats.org/officeDocument/2006/customXml" ds:itemID="{DB69438F-9643-4648-BC7A-C0D4FCFA785A}">
  <ds:schemaRefs/>
</ds:datastoreItem>
</file>

<file path=customXml/itemProps36.xml><?xml version="1.0" encoding="utf-8"?>
<ds:datastoreItem xmlns:ds="http://schemas.openxmlformats.org/officeDocument/2006/customXml" ds:itemID="{CB1FFCF5-0559-485A-8EB5-1DFF5845B3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Briceño</dc:creator>
  <cp:lastModifiedBy>Juan Pablo Briceño</cp:lastModifiedBy>
  <dcterms:created xsi:type="dcterms:W3CDTF">2015-06-05T18:17:20Z</dcterms:created>
  <dcterms:modified xsi:type="dcterms:W3CDTF">2025-12-30T19:43:21Z</dcterms:modified>
</cp:coreProperties>
</file>